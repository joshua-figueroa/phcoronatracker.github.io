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ua Figueroa\Desktop\PH COVID-19 Tracker\"/>
    </mc:Choice>
  </mc:AlternateContent>
  <xr:revisionPtr revIDLastSave="0" documentId="13_ncr:1_{FA9A7543-A2E2-4236-B9DB-22195A974DC8}" xr6:coauthVersionLast="45" xr6:coauthVersionMax="45" xr10:uidLastSave="{00000000-0000-0000-0000-000000000000}"/>
  <bookViews>
    <workbookView xWindow="-120" yWindow="-120" windowWidth="20730" windowHeight="11160" xr2:uid="{442F2033-4A85-41F1-867D-FDC34FDA5152}"/>
  </bookViews>
  <sheets>
    <sheet name="Sheet1" sheetId="1" r:id="rId1"/>
  </sheets>
  <functionGroups builtInGroupCount="19"/>
  <definedNames>
    <definedName name="SUM">Sheet1!$F$2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2" i="1" l="1"/>
  <c r="B51" i="1"/>
  <c r="B50" i="1"/>
  <c r="B48" i="1"/>
  <c r="F56" i="1"/>
  <c r="D52" i="1"/>
  <c r="C52" i="1"/>
  <c r="C51" i="1"/>
  <c r="D51" i="1"/>
  <c r="C50" i="1"/>
  <c r="D50" i="1"/>
  <c r="C48" i="1"/>
  <c r="B49" i="1" l="1"/>
  <c r="B47" i="1"/>
  <c r="B46" i="1"/>
  <c r="B6" i="1"/>
  <c r="B45" i="1"/>
  <c r="F38" i="1" s="1"/>
  <c r="D48" i="1"/>
  <c r="G56" i="1"/>
  <c r="D46" i="1"/>
  <c r="C46" i="1"/>
  <c r="D49" i="1"/>
  <c r="D47" i="1"/>
  <c r="C11" i="1"/>
  <c r="C45" i="1"/>
  <c r="C6" i="1"/>
  <c r="C49" i="1"/>
  <c r="C47" i="1"/>
  <c r="D6" i="1"/>
  <c r="G38" i="1" l="1"/>
  <c r="B44" i="1"/>
  <c r="F47" i="1" s="1"/>
  <c r="B43" i="1"/>
  <c r="B42" i="1"/>
  <c r="B41" i="1"/>
  <c r="B40" i="1"/>
  <c r="B38" i="1"/>
  <c r="F11" i="1" s="1"/>
  <c r="B39" i="1"/>
  <c r="B37" i="1"/>
  <c r="F20" i="1" s="1"/>
  <c r="D38" i="1"/>
  <c r="C40" i="1"/>
  <c r="D45" i="1"/>
  <c r="D40" i="1"/>
  <c r="C44" i="1"/>
  <c r="D43" i="1"/>
  <c r="C42" i="1"/>
  <c r="D42" i="1"/>
  <c r="D39" i="1"/>
  <c r="C41" i="1"/>
  <c r="C38" i="1"/>
  <c r="C37" i="1"/>
  <c r="C43" i="1"/>
  <c r="D2" i="1"/>
  <c r="D41" i="1"/>
  <c r="D44" i="1"/>
  <c r="C39" i="1"/>
  <c r="F41" i="1" l="1"/>
  <c r="H41" i="1"/>
  <c r="G41" i="1"/>
  <c r="H47" i="1"/>
  <c r="G47" i="1"/>
  <c r="H38" i="1"/>
  <c r="G20" i="1"/>
  <c r="G11" i="1"/>
  <c r="H11" i="1"/>
  <c r="B36" i="1"/>
  <c r="B35" i="1"/>
  <c r="F8" i="1" s="1"/>
  <c r="D36" i="1"/>
  <c r="C35" i="1"/>
  <c r="D35" i="1"/>
  <c r="C36" i="1"/>
  <c r="D37" i="1"/>
  <c r="H20" i="1" l="1"/>
  <c r="H8" i="1"/>
  <c r="G8" i="1"/>
  <c r="B34" i="1"/>
  <c r="B33" i="1"/>
  <c r="C33" i="1"/>
  <c r="C34" i="1"/>
  <c r="D34" i="1"/>
  <c r="F59" i="1" l="1"/>
  <c r="B8" i="1"/>
  <c r="B9" i="1"/>
  <c r="B10" i="1"/>
  <c r="B11" i="1"/>
  <c r="B12" i="1"/>
  <c r="B13" i="1"/>
  <c r="F32" i="1" s="1"/>
  <c r="B14" i="1"/>
  <c r="F26" i="1" s="1"/>
  <c r="B15" i="1"/>
  <c r="B4" i="1"/>
  <c r="C10" i="1"/>
  <c r="D10" i="1"/>
  <c r="D14" i="1"/>
  <c r="D26" i="1"/>
  <c r="C3" i="1"/>
  <c r="D9" i="1"/>
  <c r="C4" i="1"/>
  <c r="D16" i="1"/>
  <c r="D31" i="1"/>
  <c r="C2" i="1"/>
  <c r="D7" i="1"/>
  <c r="C14" i="1"/>
  <c r="D25" i="1"/>
  <c r="D5" i="1"/>
  <c r="C27" i="1"/>
  <c r="H59" i="1"/>
  <c r="D23" i="1"/>
  <c r="D18" i="1"/>
  <c r="C20" i="1"/>
  <c r="D30" i="1"/>
  <c r="G59" i="1"/>
  <c r="D20" i="1"/>
  <c r="D33" i="1"/>
  <c r="C32" i="1"/>
  <c r="D17" i="1"/>
  <c r="D4" i="1"/>
  <c r="C18" i="1"/>
  <c r="C25" i="1"/>
  <c r="C7" i="1"/>
  <c r="D24" i="1"/>
  <c r="D3" i="1"/>
  <c r="D22" i="1"/>
  <c r="C30" i="1"/>
  <c r="C22" i="1"/>
  <c r="D28" i="1"/>
  <c r="C8" i="1"/>
  <c r="C26" i="1"/>
  <c r="C23" i="1"/>
  <c r="D12" i="1"/>
  <c r="C29" i="1"/>
  <c r="D19" i="1"/>
  <c r="C31" i="1"/>
  <c r="C5" i="1"/>
  <c r="D8" i="1"/>
  <c r="C13" i="1"/>
  <c r="C17" i="1"/>
  <c r="C16" i="1"/>
  <c r="D32" i="1"/>
  <c r="D29" i="1"/>
  <c r="D21" i="1"/>
  <c r="D11" i="1"/>
  <c r="C12" i="1"/>
  <c r="C9" i="1"/>
  <c r="D15" i="1"/>
  <c r="C15" i="1"/>
  <c r="C21" i="1"/>
  <c r="D27" i="1"/>
  <c r="D13" i="1"/>
  <c r="C19" i="1"/>
  <c r="C28" i="1"/>
  <c r="C24" i="1"/>
  <c r="H29" i="1" l="1"/>
  <c r="G29" i="1"/>
  <c r="G14" i="1"/>
  <c r="H14" i="1"/>
  <c r="H53" i="1"/>
  <c r="G53" i="1"/>
  <c r="H44" i="1"/>
  <c r="G44" i="1"/>
  <c r="H32" i="1"/>
  <c r="G32" i="1"/>
  <c r="G26" i="1"/>
  <c r="H26" i="1"/>
  <c r="G23" i="1"/>
  <c r="H23" i="1"/>
  <c r="H17" i="1"/>
  <c r="G17" i="1"/>
  <c r="G2" i="1"/>
  <c r="H2" i="1"/>
  <c r="H5" i="1"/>
  <c r="G5" i="1"/>
  <c r="B32" i="1"/>
  <c r="B31" i="1"/>
  <c r="B30" i="1"/>
  <c r="B29" i="1"/>
  <c r="B28" i="1"/>
  <c r="B27" i="1"/>
  <c r="F44" i="1" s="1"/>
  <c r="B26" i="1"/>
  <c r="B25" i="1"/>
  <c r="B24" i="1"/>
  <c r="F23" i="1" s="1"/>
  <c r="B23" i="1"/>
  <c r="B22" i="1"/>
  <c r="B21" i="1"/>
  <c r="B20" i="1"/>
  <c r="B19" i="1"/>
  <c r="B18" i="1"/>
  <c r="B17" i="1"/>
  <c r="B16" i="1"/>
  <c r="B7" i="1"/>
  <c r="B5" i="1"/>
  <c r="B2" i="1"/>
  <c r="B3" i="1"/>
  <c r="F53" i="1" l="1"/>
  <c r="F17" i="1"/>
  <c r="F29" i="1"/>
  <c r="F14" i="1"/>
  <c r="F5" i="1"/>
  <c r="F2" i="1"/>
</calcChain>
</file>

<file path=xl/sharedStrings.xml><?xml version="1.0" encoding="utf-8"?>
<sst xmlns="http://schemas.openxmlformats.org/spreadsheetml/2006/main" count="133" uniqueCount="97">
  <si>
    <t>Residency</t>
  </si>
  <si>
    <t>Taguig</t>
  </si>
  <si>
    <t>Count</t>
  </si>
  <si>
    <t>Rizal</t>
  </si>
  <si>
    <t>Pasig</t>
  </si>
  <si>
    <t>marikina</t>
  </si>
  <si>
    <t>QC</t>
  </si>
  <si>
    <t>San Juan</t>
  </si>
  <si>
    <t>Manila</t>
  </si>
  <si>
    <t>Pasay</t>
  </si>
  <si>
    <t>makati</t>
  </si>
  <si>
    <t>Cavite</t>
  </si>
  <si>
    <t>Bulacan</t>
  </si>
  <si>
    <t>Negros Oriental</t>
  </si>
  <si>
    <t>Cam Sur</t>
  </si>
  <si>
    <t>lanao del sur</t>
  </si>
  <si>
    <t>mandaluyong</t>
  </si>
  <si>
    <t>Batangas</t>
  </si>
  <si>
    <t>pampanga</t>
  </si>
  <si>
    <t>bataan</t>
  </si>
  <si>
    <t>quezon</t>
  </si>
  <si>
    <t>laguna</t>
  </si>
  <si>
    <t>abra</t>
  </si>
  <si>
    <t>caloocan</t>
  </si>
  <si>
    <t>tarlac</t>
  </si>
  <si>
    <t>muntinlupa</t>
  </si>
  <si>
    <t>Foreign</t>
  </si>
  <si>
    <t>davao de oro</t>
  </si>
  <si>
    <t>Valenzuela</t>
  </si>
  <si>
    <t>Negros Occidental</t>
  </si>
  <si>
    <t>Iloilo</t>
  </si>
  <si>
    <t>Nueva Ecija</t>
  </si>
  <si>
    <t>For Validation</t>
  </si>
  <si>
    <t>Death</t>
  </si>
  <si>
    <t>Total Count</t>
  </si>
  <si>
    <t>Total Death</t>
  </si>
  <si>
    <t>Total Recoveries</t>
  </si>
  <si>
    <t>Recoveries</t>
  </si>
  <si>
    <t>Marikina</t>
  </si>
  <si>
    <t>Makati</t>
  </si>
  <si>
    <t>Las Pinas</t>
  </si>
  <si>
    <t>Mandaluyong</t>
  </si>
  <si>
    <t>Paranaque</t>
  </si>
  <si>
    <t>Muntinlupa</t>
  </si>
  <si>
    <t>Malabon</t>
  </si>
  <si>
    <t>Pateros</t>
  </si>
  <si>
    <t>Caloocan</t>
  </si>
  <si>
    <t>Navotas</t>
  </si>
  <si>
    <t xml:space="preserve">Cavite </t>
  </si>
  <si>
    <t>Laguna</t>
  </si>
  <si>
    <t>Bataan</t>
  </si>
  <si>
    <t>Lanao del sur</t>
  </si>
  <si>
    <t>Abra</t>
  </si>
  <si>
    <t>Cam sur</t>
  </si>
  <si>
    <t>Davao de Oro</t>
  </si>
  <si>
    <t>Pampanga</t>
  </si>
  <si>
    <t>Tarlac</t>
  </si>
  <si>
    <t>Quezon</t>
  </si>
  <si>
    <t>paranaque</t>
  </si>
  <si>
    <t>Cotabato city</t>
  </si>
  <si>
    <t>Cotabato City</t>
  </si>
  <si>
    <t>Patient List of Metro Manila Residents</t>
  </si>
  <si>
    <t>Patients List Outside of Metro Manila Residents</t>
  </si>
  <si>
    <t>Cebu</t>
  </si>
  <si>
    <t>La Union</t>
  </si>
  <si>
    <t>Davao del Sur</t>
  </si>
  <si>
    <t>Palawan</t>
  </si>
  <si>
    <t>Cagayan</t>
  </si>
  <si>
    <t>Baguio City</t>
  </si>
  <si>
    <t>Lanao del Norte</t>
  </si>
  <si>
    <t>Capiz</t>
  </si>
  <si>
    <t>Misamis Oriental</t>
  </si>
  <si>
    <t>Sultan Kudarat</t>
  </si>
  <si>
    <t>Zamboanga del Sur</t>
  </si>
  <si>
    <t>Isabela</t>
  </si>
  <si>
    <t>Aklan</t>
  </si>
  <si>
    <t>Oriental Mindoro</t>
  </si>
  <si>
    <t>Nueva Viscaya</t>
  </si>
  <si>
    <t>Davao del Norte</t>
  </si>
  <si>
    <t>Davao Oriental</t>
  </si>
  <si>
    <t>Metro Manila</t>
  </si>
  <si>
    <t>Region 11 - Davao Region</t>
  </si>
  <si>
    <t>Region 10 - Nothern Mindanao</t>
  </si>
  <si>
    <t>Region 9 - Zamboanga Region</t>
  </si>
  <si>
    <t>Region 8 - Eastern Visayas</t>
  </si>
  <si>
    <t>Region 7 - Central Visayas</t>
  </si>
  <si>
    <t>Region 6 - Western Visayas</t>
  </si>
  <si>
    <t>Region 5 - Bicol Region</t>
  </si>
  <si>
    <t>Cordillera Administrative Region (CAR)</t>
  </si>
  <si>
    <t>Region 4B - MIMAROPA Region</t>
  </si>
  <si>
    <t>Region 4A - CALABARZON Region</t>
  </si>
  <si>
    <t>Region 3 - Central Luzon</t>
  </si>
  <si>
    <t>Region 2 - Cagayan Valley</t>
  </si>
  <si>
    <t>Region 1 - Ilocos Region</t>
  </si>
  <si>
    <t>Region 12 - Soccsksargen</t>
  </si>
  <si>
    <t>Region 13 - Caraga Region</t>
  </si>
  <si>
    <t>Autonomous Region in Muslim Mindanao (ARMM)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</si>
</sst>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6AA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6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right"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right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right"/>
    </xf>
    <xf numFmtId="0" fontId="2" fillId="10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7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6AAFC"/>
      <color rgb="FF6C4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5AA71-33BA-44AE-8027-FC06F7E549FF}">
  <sheetPr codeName="Sheet2"/>
  <dimension ref="A1:BL942"/>
  <sheetViews>
    <sheetView tabSelected="1" workbookViewId="0">
      <pane ySplit="1" topLeftCell="A2" activePane="bottomLeft" state="frozen"/>
      <selection pane="bottomLeft" activeCell="E1" sqref="E1"/>
    </sheetView>
  </sheetViews>
  <sheetFormatPr defaultRowHeight="15" x14ac:dyDescent="0.25"/>
  <cols>
    <col min="1" max="1" width="19.42578125" style="6" customWidth="1"/>
    <col min="4" max="4" width="11.85546875" customWidth="1"/>
    <col min="5" max="5" width="5.85546875" customWidth="1"/>
    <col min="6" max="6" width="15.5703125" customWidth="1"/>
    <col min="7" max="7" width="21.85546875" customWidth="1"/>
    <col min="8" max="8" width="18.85546875" customWidth="1"/>
    <col min="9" max="9" width="5.7109375" customWidth="1"/>
    <col min="10" max="10" width="8.7109375" customWidth="1"/>
    <col min="19" max="19" width="13.5703125" customWidth="1"/>
    <col min="20" max="20" width="12.140625" customWidth="1"/>
    <col min="21" max="21" width="12" customWidth="1"/>
    <col min="22" max="22" width="11.42578125" customWidth="1"/>
    <col min="23" max="23" width="11.7109375" customWidth="1"/>
    <col min="24" max="24" width="9.42578125" customWidth="1"/>
    <col min="31" max="31" width="16.5703125" customWidth="1"/>
    <col min="32" max="32" width="10.7109375" customWidth="1"/>
    <col min="35" max="35" width="13.140625" customWidth="1"/>
    <col min="36" max="36" width="11.85546875" customWidth="1"/>
    <col min="39" max="39" width="14.42578125" customWidth="1"/>
    <col min="40" max="40" width="13" customWidth="1"/>
    <col min="42" max="42" width="17.140625" customWidth="1"/>
    <col min="43" max="43" width="11.7109375" customWidth="1"/>
    <col min="47" max="47" width="12" customWidth="1"/>
    <col min="48" max="51" width="14.42578125" customWidth="1"/>
    <col min="52" max="52" width="17.7109375" customWidth="1"/>
    <col min="53" max="53" width="11.5703125" customWidth="1"/>
    <col min="54" max="55" width="17.5703125" customWidth="1"/>
    <col min="56" max="56" width="19.85546875" customWidth="1"/>
    <col min="57" max="57" width="12.85546875" customWidth="1"/>
    <col min="58" max="58" width="11.42578125" customWidth="1"/>
    <col min="59" max="59" width="20.85546875" customWidth="1"/>
    <col min="60" max="60" width="15" customWidth="1"/>
    <col min="61" max="62" width="20.85546875" customWidth="1"/>
    <col min="63" max="63" width="11" customWidth="1"/>
    <col min="64" max="64" width="17.5703125" customWidth="1"/>
  </cols>
  <sheetData>
    <row r="1" spans="1:64" x14ac:dyDescent="0.25">
      <c r="A1" s="5" t="s">
        <v>0</v>
      </c>
      <c r="B1" s="1" t="s">
        <v>2</v>
      </c>
      <c r="C1" s="2" t="s">
        <v>33</v>
      </c>
      <c r="D1" s="3" t="s">
        <v>37</v>
      </c>
      <c r="E1" s="4"/>
      <c r="F1" s="1" t="s">
        <v>34</v>
      </c>
      <c r="G1" s="2" t="s">
        <v>35</v>
      </c>
      <c r="H1" s="3" t="s">
        <v>36</v>
      </c>
      <c r="J1" s="11" t="s">
        <v>61</v>
      </c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B1" s="11" t="s">
        <v>62</v>
      </c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</row>
    <row r="2" spans="1:64" x14ac:dyDescent="0.25">
      <c r="A2" s="6" t="s">
        <v>1</v>
      </c>
      <c r="B2">
        <f>COUNT(J3:J98)</f>
        <v>20</v>
      </c>
      <c r="C2">
        <f ca="1">CountCellsByColor(J3:J98, C1)</f>
        <v>1</v>
      </c>
      <c r="D2">
        <f ca="1">CountCellsByColor(J3:J98, D1)</f>
        <v>1</v>
      </c>
      <c r="F2">
        <f>SUM(B2:B100, F59, F56)</f>
        <v>1546</v>
      </c>
      <c r="G2">
        <f ca="1">SUM(C2:C100, G59, G56)</f>
        <v>78</v>
      </c>
      <c r="H2">
        <f ca="1">SUM(D2:D100, H59)</f>
        <v>42</v>
      </c>
      <c r="J2" s="7" t="s">
        <v>1</v>
      </c>
      <c r="K2" s="7" t="s">
        <v>4</v>
      </c>
      <c r="L2" s="7" t="s">
        <v>38</v>
      </c>
      <c r="M2" s="7" t="s">
        <v>6</v>
      </c>
      <c r="N2" s="7" t="s">
        <v>7</v>
      </c>
      <c r="O2" s="7" t="s">
        <v>8</v>
      </c>
      <c r="P2" s="7" t="s">
        <v>9</v>
      </c>
      <c r="Q2" s="7" t="s">
        <v>39</v>
      </c>
      <c r="R2" s="7" t="s">
        <v>40</v>
      </c>
      <c r="S2" s="7" t="s">
        <v>41</v>
      </c>
      <c r="T2" s="7" t="s">
        <v>42</v>
      </c>
      <c r="U2" s="7" t="s">
        <v>43</v>
      </c>
      <c r="V2" s="7" t="s">
        <v>44</v>
      </c>
      <c r="W2" s="7" t="s">
        <v>28</v>
      </c>
      <c r="X2" s="7" t="s">
        <v>45</v>
      </c>
      <c r="Y2" s="7" t="s">
        <v>46</v>
      </c>
      <c r="Z2" s="7" t="s">
        <v>47</v>
      </c>
      <c r="AB2" s="7" t="s">
        <v>3</v>
      </c>
      <c r="AC2" s="7" t="s">
        <v>48</v>
      </c>
      <c r="AD2" s="7" t="s">
        <v>12</v>
      </c>
      <c r="AE2" s="7" t="s">
        <v>13</v>
      </c>
      <c r="AF2" s="7" t="s">
        <v>17</v>
      </c>
      <c r="AG2" s="7" t="s">
        <v>49</v>
      </c>
      <c r="AH2" s="7" t="s">
        <v>50</v>
      </c>
      <c r="AI2" s="7" t="s">
        <v>51</v>
      </c>
      <c r="AJ2" s="7" t="s">
        <v>31</v>
      </c>
      <c r="AK2" s="7" t="s">
        <v>52</v>
      </c>
      <c r="AL2" s="7" t="s">
        <v>53</v>
      </c>
      <c r="AM2" s="7" t="s">
        <v>60</v>
      </c>
      <c r="AN2" s="7" t="s">
        <v>54</v>
      </c>
      <c r="AO2" s="7" t="s">
        <v>30</v>
      </c>
      <c r="AP2" s="7" t="s">
        <v>29</v>
      </c>
      <c r="AQ2" s="7" t="s">
        <v>55</v>
      </c>
      <c r="AR2" s="7" t="s">
        <v>56</v>
      </c>
      <c r="AS2" s="7" t="s">
        <v>57</v>
      </c>
      <c r="AT2" s="7" t="s">
        <v>63</v>
      </c>
      <c r="AU2" s="7" t="s">
        <v>64</v>
      </c>
      <c r="AV2" s="7" t="s">
        <v>65</v>
      </c>
      <c r="AW2" s="7" t="s">
        <v>66</v>
      </c>
      <c r="AX2" s="7" t="s">
        <v>67</v>
      </c>
      <c r="AY2" s="7" t="s">
        <v>68</v>
      </c>
      <c r="AZ2" s="7" t="s">
        <v>69</v>
      </c>
      <c r="BA2" s="7" t="s">
        <v>70</v>
      </c>
      <c r="BB2" s="7" t="s">
        <v>71</v>
      </c>
      <c r="BC2" s="7" t="s">
        <v>72</v>
      </c>
      <c r="BD2" s="7" t="s">
        <v>73</v>
      </c>
      <c r="BE2" s="7" t="s">
        <v>74</v>
      </c>
      <c r="BF2" s="7" t="s">
        <v>75</v>
      </c>
      <c r="BG2" s="7" t="s">
        <v>76</v>
      </c>
      <c r="BH2" s="7" t="s">
        <v>77</v>
      </c>
      <c r="BI2" s="7" t="s">
        <v>78</v>
      </c>
      <c r="BJ2" s="7" t="s">
        <v>79</v>
      </c>
      <c r="BK2" s="7" t="s">
        <v>26</v>
      </c>
      <c r="BL2" s="7" t="s">
        <v>32</v>
      </c>
    </row>
    <row r="3" spans="1:64" x14ac:dyDescent="0.25">
      <c r="A3" s="6" t="s">
        <v>3</v>
      </c>
      <c r="B3">
        <f>COUNT(AB3:AB98)</f>
        <v>29</v>
      </c>
      <c r="C3">
        <f ca="1">CountCellsByColor(AB3:AB98, C1)</f>
        <v>5</v>
      </c>
      <c r="D3">
        <f ca="1">CountCellsByColor(AB3:AB98, D1)</f>
        <v>1</v>
      </c>
      <c r="J3" s="9">
        <v>4</v>
      </c>
      <c r="K3">
        <v>8</v>
      </c>
      <c r="L3" s="8">
        <v>9</v>
      </c>
      <c r="M3" s="9">
        <v>10</v>
      </c>
      <c r="N3" s="9">
        <v>11</v>
      </c>
      <c r="O3" s="8">
        <v>12</v>
      </c>
      <c r="P3" s="9">
        <v>14</v>
      </c>
      <c r="Q3" s="9">
        <v>7</v>
      </c>
      <c r="R3">
        <v>36</v>
      </c>
      <c r="S3">
        <v>47</v>
      </c>
      <c r="T3">
        <v>56</v>
      </c>
      <c r="U3">
        <v>151</v>
      </c>
      <c r="V3">
        <v>400</v>
      </c>
      <c r="W3">
        <v>211</v>
      </c>
      <c r="X3">
        <v>307</v>
      </c>
      <c r="Y3">
        <v>46</v>
      </c>
      <c r="AB3" s="8">
        <v>5</v>
      </c>
      <c r="AC3" s="9">
        <v>20</v>
      </c>
      <c r="AD3">
        <v>21</v>
      </c>
      <c r="AE3" s="9">
        <v>25</v>
      </c>
      <c r="AF3" s="9">
        <v>49</v>
      </c>
      <c r="AG3">
        <v>59</v>
      </c>
      <c r="AH3">
        <v>64</v>
      </c>
      <c r="AI3" s="8">
        <v>40</v>
      </c>
      <c r="AJ3">
        <v>285</v>
      </c>
      <c r="AK3">
        <v>96</v>
      </c>
      <c r="AL3" s="9">
        <v>26</v>
      </c>
      <c r="AM3">
        <v>145</v>
      </c>
      <c r="AN3" s="9">
        <v>130</v>
      </c>
      <c r="AO3">
        <v>284</v>
      </c>
      <c r="AP3">
        <v>267</v>
      </c>
      <c r="AQ3">
        <v>63</v>
      </c>
      <c r="AR3" s="9">
        <v>122</v>
      </c>
      <c r="AS3">
        <v>70</v>
      </c>
      <c r="AT3">
        <v>188</v>
      </c>
      <c r="AU3">
        <v>244</v>
      </c>
      <c r="AV3">
        <v>262</v>
      </c>
      <c r="AW3">
        <v>273</v>
      </c>
      <c r="AX3">
        <v>275</v>
      </c>
      <c r="AY3">
        <v>441</v>
      </c>
      <c r="AZ3">
        <v>492</v>
      </c>
      <c r="BA3">
        <v>573</v>
      </c>
      <c r="BB3">
        <v>597</v>
      </c>
      <c r="BC3" s="8">
        <v>600</v>
      </c>
      <c r="BD3">
        <v>613</v>
      </c>
      <c r="BE3">
        <v>801</v>
      </c>
      <c r="BF3">
        <v>915</v>
      </c>
      <c r="BG3">
        <v>990</v>
      </c>
      <c r="BH3" s="14">
        <v>1261</v>
      </c>
      <c r="BI3" s="14">
        <v>1511</v>
      </c>
      <c r="BJ3" s="14">
        <v>1514</v>
      </c>
      <c r="BK3" s="9">
        <v>1</v>
      </c>
      <c r="BL3">
        <v>159</v>
      </c>
    </row>
    <row r="4" spans="1:64" x14ac:dyDescent="0.25">
      <c r="A4" s="6" t="s">
        <v>4</v>
      </c>
      <c r="B4">
        <f>COUNT(K3:K97)</f>
        <v>43</v>
      </c>
      <c r="C4">
        <f ca="1">CountCellsByColor(K3:K97, C1)</f>
        <v>4</v>
      </c>
      <c r="D4">
        <f ca="1">CountCellsByColor(K3:K97, D1)</f>
        <v>5</v>
      </c>
      <c r="F4" s="17" t="s">
        <v>80</v>
      </c>
      <c r="G4" s="17"/>
      <c r="H4" s="17"/>
      <c r="J4">
        <v>84</v>
      </c>
      <c r="K4" s="9">
        <v>18</v>
      </c>
      <c r="L4">
        <v>27</v>
      </c>
      <c r="M4" s="9">
        <v>13</v>
      </c>
      <c r="N4" s="9">
        <v>16</v>
      </c>
      <c r="O4">
        <v>67</v>
      </c>
      <c r="P4">
        <v>83</v>
      </c>
      <c r="Q4" s="9">
        <v>15</v>
      </c>
      <c r="R4">
        <v>138</v>
      </c>
      <c r="S4">
        <v>53</v>
      </c>
      <c r="T4">
        <v>85</v>
      </c>
      <c r="U4">
        <v>154</v>
      </c>
      <c r="W4">
        <v>330</v>
      </c>
      <c r="Y4">
        <v>103</v>
      </c>
      <c r="AB4" s="8">
        <v>6</v>
      </c>
      <c r="AC4">
        <v>81</v>
      </c>
      <c r="AD4" s="8">
        <v>57</v>
      </c>
      <c r="AE4" s="8">
        <v>39</v>
      </c>
      <c r="AF4" s="8">
        <v>52</v>
      </c>
      <c r="AG4">
        <v>72</v>
      </c>
      <c r="AH4">
        <v>303</v>
      </c>
      <c r="AI4" s="8">
        <v>201</v>
      </c>
      <c r="AJ4">
        <v>286</v>
      </c>
      <c r="AO4">
        <v>574</v>
      </c>
      <c r="AP4">
        <v>618</v>
      </c>
      <c r="AQ4" s="8">
        <v>89</v>
      </c>
      <c r="AU4">
        <v>245</v>
      </c>
      <c r="AV4">
        <v>263</v>
      </c>
      <c r="AX4">
        <v>839</v>
      </c>
      <c r="AY4">
        <v>684</v>
      </c>
      <c r="BB4">
        <v>598</v>
      </c>
      <c r="BE4">
        <v>837</v>
      </c>
      <c r="BI4">
        <v>1512</v>
      </c>
      <c r="BJ4">
        <v>1516</v>
      </c>
      <c r="BK4" s="8">
        <v>2</v>
      </c>
      <c r="BL4">
        <v>193</v>
      </c>
    </row>
    <row r="5" spans="1:64" x14ac:dyDescent="0.25">
      <c r="A5" s="6" t="s">
        <v>5</v>
      </c>
      <c r="B5">
        <f>COUNT(L3:L98)</f>
        <v>11</v>
      </c>
      <c r="C5">
        <f ca="1">CountCellsByColor(L3:L98, C1)</f>
        <v>2</v>
      </c>
      <c r="D5">
        <f ca="1">CountCellsByColor(L3:L98, D1)</f>
        <v>1</v>
      </c>
      <c r="F5">
        <f>SUM(B2,B4:B10,B15,B17,B25,B19,B28, B30, B39, B49)</f>
        <v>426</v>
      </c>
      <c r="G5">
        <f ca="1">SUM(C2,C4:C10,C15,C17,C25,C19,C28, C30, C39, C49)</f>
        <v>55</v>
      </c>
      <c r="H5">
        <f ca="1">SUM(D2,D4:D10,D15,D17,D25,D19,D28, D30, D39, D49)</f>
        <v>32</v>
      </c>
      <c r="J5">
        <v>108</v>
      </c>
      <c r="K5" s="9">
        <v>19</v>
      </c>
      <c r="L5" s="9">
        <v>28</v>
      </c>
      <c r="M5">
        <v>24</v>
      </c>
      <c r="N5" s="9">
        <v>17</v>
      </c>
      <c r="O5" s="9">
        <v>73</v>
      </c>
      <c r="P5">
        <v>340</v>
      </c>
      <c r="Q5">
        <v>33</v>
      </c>
      <c r="R5">
        <v>157</v>
      </c>
      <c r="S5">
        <v>69</v>
      </c>
      <c r="T5">
        <v>119</v>
      </c>
      <c r="U5">
        <v>156</v>
      </c>
      <c r="Y5">
        <v>104</v>
      </c>
      <c r="AB5">
        <v>38</v>
      </c>
      <c r="AC5">
        <v>136</v>
      </c>
      <c r="AD5">
        <v>99</v>
      </c>
      <c r="AF5" s="9">
        <v>95</v>
      </c>
      <c r="AG5" s="8">
        <v>327</v>
      </c>
      <c r="AI5">
        <v>596</v>
      </c>
      <c r="AO5">
        <v>777</v>
      </c>
      <c r="AP5">
        <v>918</v>
      </c>
      <c r="AQ5" s="8">
        <v>636</v>
      </c>
      <c r="AV5">
        <v>707</v>
      </c>
      <c r="AX5">
        <v>841</v>
      </c>
      <c r="AY5" s="6">
        <v>1184</v>
      </c>
      <c r="BE5">
        <v>838</v>
      </c>
      <c r="BI5">
        <v>1540</v>
      </c>
      <c r="BK5" s="9">
        <v>3</v>
      </c>
      <c r="BL5">
        <v>232</v>
      </c>
    </row>
    <row r="6" spans="1:64" x14ac:dyDescent="0.25">
      <c r="A6" s="6" t="s">
        <v>6</v>
      </c>
      <c r="B6">
        <f>COUNT(M3:M150)</f>
        <v>116</v>
      </c>
      <c r="C6">
        <f ca="1">CountCellsByColor(M3:M150, C1)</f>
        <v>21</v>
      </c>
      <c r="D6">
        <f ca="1">CountCellsByColor(M3:M150, D1)</f>
        <v>9</v>
      </c>
      <c r="J6">
        <v>110</v>
      </c>
      <c r="K6" s="8">
        <v>37</v>
      </c>
      <c r="L6" s="8">
        <v>29</v>
      </c>
      <c r="M6">
        <v>45</v>
      </c>
      <c r="N6" s="9">
        <v>22</v>
      </c>
      <c r="O6">
        <v>78</v>
      </c>
      <c r="P6">
        <v>380</v>
      </c>
      <c r="Q6">
        <v>34</v>
      </c>
      <c r="R6">
        <v>158</v>
      </c>
      <c r="S6">
        <v>97</v>
      </c>
      <c r="T6">
        <v>127</v>
      </c>
      <c r="U6">
        <v>364</v>
      </c>
      <c r="Y6" s="9">
        <v>114</v>
      </c>
      <c r="AB6" s="9">
        <v>62</v>
      </c>
      <c r="AC6">
        <v>139</v>
      </c>
      <c r="AD6">
        <v>113</v>
      </c>
      <c r="AF6">
        <v>183</v>
      </c>
      <c r="AG6">
        <v>356</v>
      </c>
      <c r="AI6" s="14">
        <v>1464</v>
      </c>
      <c r="AJ6" s="14"/>
      <c r="AO6" s="8">
        <v>900</v>
      </c>
      <c r="AP6">
        <v>1366</v>
      </c>
      <c r="AV6">
        <v>442</v>
      </c>
      <c r="AX6">
        <v>893</v>
      </c>
      <c r="AY6" s="6">
        <v>1468</v>
      </c>
      <c r="BE6">
        <v>840</v>
      </c>
      <c r="BH6" s="14"/>
      <c r="BI6" s="14"/>
      <c r="BJ6" s="14"/>
      <c r="BK6" s="14"/>
      <c r="BL6">
        <v>243</v>
      </c>
    </row>
    <row r="7" spans="1:64" x14ac:dyDescent="0.25">
      <c r="A7" s="6" t="s">
        <v>7</v>
      </c>
      <c r="B7">
        <f>COUNT(N3:N98)</f>
        <v>63</v>
      </c>
      <c r="C7">
        <f ca="1">CountCellsByColor(N3:N98, C1)</f>
        <v>7</v>
      </c>
      <c r="D7">
        <f ca="1">CountCellsByColor(N3:N98, D1)</f>
        <v>7</v>
      </c>
      <c r="F7" s="18" t="s">
        <v>93</v>
      </c>
      <c r="G7" s="18"/>
      <c r="H7" s="18"/>
      <c r="J7">
        <v>150</v>
      </c>
      <c r="K7" s="9">
        <v>42</v>
      </c>
      <c r="L7">
        <v>30</v>
      </c>
      <c r="M7">
        <v>50</v>
      </c>
      <c r="N7" s="9">
        <v>23</v>
      </c>
      <c r="O7">
        <v>121</v>
      </c>
      <c r="P7">
        <v>580</v>
      </c>
      <c r="Q7" s="8">
        <v>35</v>
      </c>
      <c r="R7">
        <v>196</v>
      </c>
      <c r="S7">
        <v>105</v>
      </c>
      <c r="T7">
        <v>140</v>
      </c>
      <c r="U7">
        <v>365</v>
      </c>
      <c r="Y7">
        <v>175</v>
      </c>
      <c r="AB7">
        <v>77</v>
      </c>
      <c r="AC7">
        <v>155</v>
      </c>
      <c r="AD7">
        <v>116</v>
      </c>
      <c r="AF7">
        <v>240</v>
      </c>
      <c r="AG7">
        <v>357</v>
      </c>
      <c r="AI7" s="14">
        <v>1465</v>
      </c>
      <c r="AJ7" s="14"/>
      <c r="AO7" s="6">
        <v>1199</v>
      </c>
      <c r="AP7">
        <v>1368</v>
      </c>
      <c r="AV7">
        <v>1001</v>
      </c>
      <c r="AX7" s="6">
        <v>1180</v>
      </c>
      <c r="AY7" s="6">
        <v>1470</v>
      </c>
      <c r="BL7">
        <v>289</v>
      </c>
    </row>
    <row r="8" spans="1:64" x14ac:dyDescent="0.25">
      <c r="A8" s="6" t="s">
        <v>8</v>
      </c>
      <c r="B8">
        <f>COUNT(O3:O99)</f>
        <v>49</v>
      </c>
      <c r="C8">
        <f ca="1">CountCellsByColor(O3:O99, C1)</f>
        <v>7</v>
      </c>
      <c r="D8">
        <f ca="1">CountCellsByColor(O3:O99, D1)</f>
        <v>1</v>
      </c>
      <c r="F8">
        <f>SUM(B35)</f>
        <v>2</v>
      </c>
      <c r="G8">
        <f ca="1">SUM(C35)</f>
        <v>0</v>
      </c>
      <c r="H8">
        <f ca="1">SUM(D35)</f>
        <v>0</v>
      </c>
      <c r="J8">
        <v>179</v>
      </c>
      <c r="K8" s="8">
        <v>54</v>
      </c>
      <c r="L8">
        <v>128</v>
      </c>
      <c r="M8" s="9">
        <v>51</v>
      </c>
      <c r="N8" s="9">
        <v>31</v>
      </c>
      <c r="O8">
        <v>123</v>
      </c>
      <c r="P8">
        <v>323</v>
      </c>
      <c r="Q8" s="9">
        <v>41</v>
      </c>
      <c r="R8">
        <v>336</v>
      </c>
      <c r="S8">
        <v>131</v>
      </c>
      <c r="T8">
        <v>141</v>
      </c>
      <c r="U8" s="8">
        <v>366</v>
      </c>
      <c r="Y8">
        <v>187</v>
      </c>
      <c r="AB8" s="8">
        <v>126</v>
      </c>
      <c r="AC8">
        <v>177</v>
      </c>
      <c r="AD8">
        <v>152</v>
      </c>
      <c r="AF8">
        <v>355</v>
      </c>
      <c r="AG8">
        <v>360</v>
      </c>
      <c r="AV8" s="13">
        <v>1384</v>
      </c>
      <c r="AW8" s="13"/>
      <c r="AX8" s="6">
        <v>1182</v>
      </c>
      <c r="AY8" s="6">
        <v>1544</v>
      </c>
      <c r="BL8">
        <v>290</v>
      </c>
    </row>
    <row r="9" spans="1:64" x14ac:dyDescent="0.25">
      <c r="A9" s="6" t="s">
        <v>9</v>
      </c>
      <c r="B9">
        <f>COUNT(P3:P98)</f>
        <v>7</v>
      </c>
      <c r="C9">
        <f ca="1">CountCellsByColor(P3:P98, C1)</f>
        <v>0</v>
      </c>
      <c r="D9">
        <f ca="1">CountCellsByColor(P3:P98, D1)</f>
        <v>1</v>
      </c>
      <c r="J9">
        <v>251</v>
      </c>
      <c r="K9" s="9">
        <v>66</v>
      </c>
      <c r="L9">
        <v>222</v>
      </c>
      <c r="M9">
        <v>55</v>
      </c>
      <c r="N9">
        <v>32</v>
      </c>
      <c r="O9">
        <v>125</v>
      </c>
      <c r="P9">
        <v>1027</v>
      </c>
      <c r="Q9">
        <v>43</v>
      </c>
      <c r="R9">
        <v>359</v>
      </c>
      <c r="S9">
        <v>147</v>
      </c>
      <c r="T9">
        <v>153</v>
      </c>
      <c r="U9" s="8">
        <v>571</v>
      </c>
      <c r="Y9">
        <v>248</v>
      </c>
      <c r="AB9">
        <v>137</v>
      </c>
      <c r="AC9">
        <v>202</v>
      </c>
      <c r="AD9" s="8">
        <v>304</v>
      </c>
      <c r="AF9">
        <v>368</v>
      </c>
      <c r="AG9">
        <v>362</v>
      </c>
      <c r="AV9" s="13">
        <v>1385</v>
      </c>
      <c r="AW9" s="13"/>
      <c r="BL9">
        <v>291</v>
      </c>
    </row>
    <row r="10" spans="1:64" x14ac:dyDescent="0.25">
      <c r="A10" s="6" t="s">
        <v>10</v>
      </c>
      <c r="B10">
        <f>COUNT(Q3:Q98)</f>
        <v>40</v>
      </c>
      <c r="C10">
        <f ca="1">CountCellsByColor(Q3:Q98, C1)</f>
        <v>3</v>
      </c>
      <c r="D10">
        <f ca="1">CountCellsByColor(Q3:Q98, D1)</f>
        <v>5</v>
      </c>
      <c r="F10" s="18" t="s">
        <v>92</v>
      </c>
      <c r="G10" s="18"/>
      <c r="H10" s="18"/>
      <c r="J10">
        <v>256</v>
      </c>
      <c r="K10">
        <v>75</v>
      </c>
      <c r="L10">
        <v>672</v>
      </c>
      <c r="M10">
        <v>68</v>
      </c>
      <c r="N10">
        <v>48</v>
      </c>
      <c r="O10">
        <v>161</v>
      </c>
      <c r="Q10">
        <v>44</v>
      </c>
      <c r="R10">
        <v>572</v>
      </c>
      <c r="S10">
        <v>189</v>
      </c>
      <c r="T10">
        <v>182</v>
      </c>
      <c r="U10" s="15">
        <v>1488</v>
      </c>
      <c r="V10" s="14"/>
      <c r="Y10" s="8">
        <v>677</v>
      </c>
      <c r="AB10">
        <v>171</v>
      </c>
      <c r="AC10">
        <v>231</v>
      </c>
      <c r="AD10">
        <v>329</v>
      </c>
      <c r="AF10">
        <v>94</v>
      </c>
      <c r="AG10">
        <v>406</v>
      </c>
      <c r="AV10" s="13">
        <v>1386</v>
      </c>
      <c r="AW10" s="13"/>
      <c r="BL10">
        <v>292</v>
      </c>
    </row>
    <row r="11" spans="1:64" x14ac:dyDescent="0.25">
      <c r="A11" s="6" t="s">
        <v>11</v>
      </c>
      <c r="B11">
        <f>COUNT(AC3:AC98)</f>
        <v>15</v>
      </c>
      <c r="C11">
        <f ca="1">CountCellsByColor(AC3:AC98, C1)</f>
        <v>2</v>
      </c>
      <c r="D11">
        <f ca="1">CountCellsByColor(AC3:AC98, D1)</f>
        <v>1</v>
      </c>
      <c r="F11">
        <f>SUM(B50,B46,B38)</f>
        <v>11</v>
      </c>
      <c r="G11">
        <f t="shared" ref="G11:H11" ca="1" si="0">SUM(C50,C46,C38)</f>
        <v>0</v>
      </c>
      <c r="H11">
        <f t="shared" ca="1" si="0"/>
        <v>0</v>
      </c>
      <c r="J11">
        <v>337</v>
      </c>
      <c r="K11">
        <v>106</v>
      </c>
      <c r="L11">
        <v>700</v>
      </c>
      <c r="M11">
        <v>74</v>
      </c>
      <c r="N11">
        <v>61</v>
      </c>
      <c r="O11">
        <v>165</v>
      </c>
      <c r="Q11">
        <v>58</v>
      </c>
      <c r="R11">
        <v>1007</v>
      </c>
      <c r="S11">
        <v>242</v>
      </c>
      <c r="T11" s="8">
        <v>349</v>
      </c>
      <c r="U11" s="15">
        <v>587</v>
      </c>
      <c r="Y11">
        <v>1522</v>
      </c>
      <c r="AB11">
        <v>172</v>
      </c>
      <c r="AC11">
        <v>233</v>
      </c>
      <c r="AD11" s="8">
        <v>277</v>
      </c>
      <c r="AF11">
        <v>495</v>
      </c>
      <c r="AG11">
        <v>561</v>
      </c>
      <c r="AV11" s="13">
        <v>1387</v>
      </c>
      <c r="AW11" s="13"/>
      <c r="BL11">
        <v>293</v>
      </c>
    </row>
    <row r="12" spans="1:64" x14ac:dyDescent="0.25">
      <c r="A12" s="6" t="s">
        <v>12</v>
      </c>
      <c r="B12">
        <f>COUNT(AD3:AD99)</f>
        <v>11</v>
      </c>
      <c r="C12">
        <f ca="1">CountCellsByColor(AD3:AD98, C1)</f>
        <v>3</v>
      </c>
      <c r="D12">
        <f ca="1">CountCellsByColor(AD3:AD98, D1)</f>
        <v>0</v>
      </c>
      <c r="J12">
        <v>344</v>
      </c>
      <c r="K12" s="9">
        <v>109</v>
      </c>
      <c r="L12">
        <v>350</v>
      </c>
      <c r="M12" s="9">
        <v>82</v>
      </c>
      <c r="N12">
        <v>65</v>
      </c>
      <c r="O12">
        <v>166</v>
      </c>
      <c r="Q12">
        <v>60</v>
      </c>
      <c r="S12">
        <v>252</v>
      </c>
      <c r="T12" s="8">
        <v>367</v>
      </c>
      <c r="AB12">
        <v>203</v>
      </c>
      <c r="AC12">
        <v>238</v>
      </c>
      <c r="AD12">
        <v>413</v>
      </c>
      <c r="AG12">
        <v>668</v>
      </c>
      <c r="AV12" s="13">
        <v>1388</v>
      </c>
      <c r="AW12" s="13"/>
      <c r="BL12">
        <v>302</v>
      </c>
    </row>
    <row r="13" spans="1:64" x14ac:dyDescent="0.25">
      <c r="A13" s="6" t="s">
        <v>13</v>
      </c>
      <c r="B13">
        <f>COUNT(AE3:AE100)</f>
        <v>2</v>
      </c>
      <c r="C13">
        <f ca="1">CountCellsByColor(AE3:AE98, C1)</f>
        <v>1</v>
      </c>
      <c r="D13">
        <f ca="1">CountCellsByColor(AE3:AE98, D1)</f>
        <v>1</v>
      </c>
      <c r="F13" s="18" t="s">
        <v>91</v>
      </c>
      <c r="G13" s="18"/>
      <c r="H13" s="18"/>
      <c r="J13">
        <v>345</v>
      </c>
      <c r="K13">
        <v>111</v>
      </c>
      <c r="L13">
        <v>434</v>
      </c>
      <c r="M13">
        <v>86</v>
      </c>
      <c r="N13">
        <v>71</v>
      </c>
      <c r="O13" s="8">
        <v>178</v>
      </c>
      <c r="Q13" s="8">
        <v>79</v>
      </c>
      <c r="S13">
        <v>254</v>
      </c>
      <c r="T13">
        <v>295</v>
      </c>
      <c r="AB13">
        <v>207</v>
      </c>
      <c r="AC13" s="8">
        <v>239</v>
      </c>
      <c r="AD13" s="10">
        <v>423</v>
      </c>
      <c r="AV13" s="13">
        <v>1389</v>
      </c>
      <c r="AW13" s="13"/>
      <c r="BL13">
        <v>311</v>
      </c>
    </row>
    <row r="14" spans="1:64" x14ac:dyDescent="0.25">
      <c r="A14" s="6" t="s">
        <v>14</v>
      </c>
      <c r="B14">
        <f>COUNT(AL3:AL101)</f>
        <v>1</v>
      </c>
      <c r="C14">
        <f ca="1">CountCellsByColor(AL3:AL98, C1)</f>
        <v>0</v>
      </c>
      <c r="D14">
        <f ca="1">CountCellsByColor(AL3:AL98, D1)</f>
        <v>1</v>
      </c>
      <c r="F14">
        <f>SUM(B12,B21,B20,B33,B26)</f>
        <v>19</v>
      </c>
      <c r="G14">
        <f t="shared" ref="G14:H14" ca="1" si="1">SUM(C12,C21,C20,C33,C26)</f>
        <v>5</v>
      </c>
      <c r="H14">
        <f t="shared" ca="1" si="1"/>
        <v>1</v>
      </c>
      <c r="J14">
        <v>525</v>
      </c>
      <c r="K14">
        <v>185</v>
      </c>
      <c r="M14" s="9">
        <v>87</v>
      </c>
      <c r="N14">
        <v>76</v>
      </c>
      <c r="O14">
        <v>181</v>
      </c>
      <c r="Q14">
        <v>92</v>
      </c>
      <c r="S14">
        <v>324</v>
      </c>
      <c r="T14">
        <v>361</v>
      </c>
      <c r="AB14" s="8">
        <v>321</v>
      </c>
      <c r="AC14">
        <v>363</v>
      </c>
      <c r="AV14" s="13">
        <v>1390</v>
      </c>
      <c r="AW14" s="13"/>
      <c r="BL14">
        <v>314</v>
      </c>
    </row>
    <row r="15" spans="1:64" x14ac:dyDescent="0.25">
      <c r="A15" s="6" t="s">
        <v>40</v>
      </c>
      <c r="B15">
        <f>COUNT(R3:R102)</f>
        <v>9</v>
      </c>
      <c r="C15">
        <f ca="1">CountCellsByColor(R3:R98, C1)</f>
        <v>0</v>
      </c>
      <c r="D15">
        <f ca="1">CountCellsByColor(R3:R98, D1)</f>
        <v>0</v>
      </c>
      <c r="J15">
        <v>546</v>
      </c>
      <c r="K15">
        <v>198</v>
      </c>
      <c r="M15">
        <v>91</v>
      </c>
      <c r="N15">
        <v>80</v>
      </c>
      <c r="O15">
        <v>213</v>
      </c>
      <c r="Q15">
        <v>102</v>
      </c>
      <c r="S15" s="8">
        <v>281</v>
      </c>
      <c r="T15">
        <v>544</v>
      </c>
      <c r="AB15">
        <v>246</v>
      </c>
      <c r="AC15">
        <v>381</v>
      </c>
      <c r="AV15" s="13">
        <v>1391</v>
      </c>
      <c r="AW15" s="13"/>
      <c r="BL15">
        <v>322</v>
      </c>
    </row>
    <row r="16" spans="1:64" x14ac:dyDescent="0.25">
      <c r="A16" s="6" t="s">
        <v>15</v>
      </c>
      <c r="B16">
        <f>COUNT(AI3:AI103)</f>
        <v>5</v>
      </c>
      <c r="C16">
        <f ca="1">CountCellsByColor(AI3:AI98, C1)</f>
        <v>2</v>
      </c>
      <c r="D16">
        <f ca="1">CountCellsByColor(AI3:AI98, D1)</f>
        <v>0</v>
      </c>
      <c r="F16" s="18" t="s">
        <v>90</v>
      </c>
      <c r="G16" s="18"/>
      <c r="H16" s="18"/>
      <c r="J16">
        <v>547</v>
      </c>
      <c r="K16">
        <v>199</v>
      </c>
      <c r="M16">
        <v>93</v>
      </c>
      <c r="N16" s="9">
        <v>88</v>
      </c>
      <c r="O16">
        <v>186</v>
      </c>
      <c r="Q16" s="9">
        <v>112</v>
      </c>
      <c r="S16">
        <v>218</v>
      </c>
      <c r="T16" s="8">
        <v>635</v>
      </c>
      <c r="AB16">
        <v>312</v>
      </c>
      <c r="AC16" s="8">
        <v>462</v>
      </c>
      <c r="AV16" s="13">
        <v>1393</v>
      </c>
      <c r="AW16" s="13"/>
      <c r="BL16">
        <v>353</v>
      </c>
    </row>
    <row r="17" spans="1:64" x14ac:dyDescent="0.25">
      <c r="A17" s="6" t="s">
        <v>16</v>
      </c>
      <c r="B17">
        <f>COUNT(S3:S104)</f>
        <v>24</v>
      </c>
      <c r="C17">
        <f ca="1">CountCellsByColor(S3:S98, C1)</f>
        <v>1</v>
      </c>
      <c r="D17">
        <f ca="1">CountCellsByColor(S3:S98, D1)</f>
        <v>0</v>
      </c>
      <c r="F17">
        <f>SUM(B3,B11,B18,B22,B23)</f>
        <v>64</v>
      </c>
      <c r="G17">
        <f t="shared" ref="G17:H17" ca="1" si="2">SUM(C3,C11,C18,C22,C23)</f>
        <v>9</v>
      </c>
      <c r="H17">
        <f t="shared" ca="1" si="2"/>
        <v>4</v>
      </c>
      <c r="J17">
        <v>579</v>
      </c>
      <c r="K17">
        <v>206</v>
      </c>
      <c r="M17">
        <v>100</v>
      </c>
      <c r="N17">
        <v>90</v>
      </c>
      <c r="O17">
        <v>225</v>
      </c>
      <c r="Q17">
        <v>132</v>
      </c>
      <c r="S17">
        <v>230</v>
      </c>
      <c r="T17" s="8">
        <v>647</v>
      </c>
      <c r="AB17">
        <v>313</v>
      </c>
      <c r="AC17">
        <v>1036</v>
      </c>
      <c r="AV17" s="13">
        <v>1394</v>
      </c>
      <c r="AW17" s="13"/>
      <c r="BL17">
        <v>370</v>
      </c>
    </row>
    <row r="18" spans="1:64" x14ac:dyDescent="0.25">
      <c r="A18" s="6" t="s">
        <v>17</v>
      </c>
      <c r="B18">
        <f>COUNT(AF3:AF105)</f>
        <v>9</v>
      </c>
      <c r="C18">
        <f ca="1">CountCellsByColor(AF3:AF98, C1)</f>
        <v>1</v>
      </c>
      <c r="D18">
        <f ca="1">CountCellsByColor(AF3:AF98, D1)</f>
        <v>2</v>
      </c>
      <c r="J18" s="8">
        <v>581</v>
      </c>
      <c r="K18">
        <v>217</v>
      </c>
      <c r="M18">
        <v>101</v>
      </c>
      <c r="N18">
        <v>98</v>
      </c>
      <c r="O18">
        <v>269</v>
      </c>
      <c r="Q18" s="8">
        <v>149</v>
      </c>
      <c r="S18">
        <v>258</v>
      </c>
      <c r="T18" s="9">
        <v>235</v>
      </c>
      <c r="AB18" s="8">
        <v>354</v>
      </c>
      <c r="AV18" s="13">
        <v>1396</v>
      </c>
      <c r="AW18" s="13"/>
      <c r="BL18">
        <v>384</v>
      </c>
    </row>
    <row r="19" spans="1:64" x14ac:dyDescent="0.25">
      <c r="A19" s="6" t="s">
        <v>58</v>
      </c>
      <c r="B19">
        <f>COUNT(T3:T106)</f>
        <v>22</v>
      </c>
      <c r="C19">
        <f ca="1">CountCellsByColor(T3:T98, C1)</f>
        <v>4</v>
      </c>
      <c r="D19">
        <f ca="1">CountCellsByColor(T3:T98, D1)</f>
        <v>1</v>
      </c>
      <c r="F19" s="18" t="s">
        <v>89</v>
      </c>
      <c r="G19" s="18"/>
      <c r="H19" s="18"/>
      <c r="J19">
        <v>615</v>
      </c>
      <c r="K19">
        <v>219</v>
      </c>
      <c r="M19">
        <v>107</v>
      </c>
      <c r="N19">
        <v>133</v>
      </c>
      <c r="O19">
        <v>288</v>
      </c>
      <c r="Q19">
        <v>164</v>
      </c>
      <c r="S19">
        <v>280</v>
      </c>
      <c r="T19">
        <v>935</v>
      </c>
      <c r="AB19">
        <v>372</v>
      </c>
      <c r="AV19" s="13">
        <v>1397</v>
      </c>
      <c r="AW19" s="13"/>
      <c r="BL19">
        <v>387</v>
      </c>
    </row>
    <row r="20" spans="1:64" x14ac:dyDescent="0.25">
      <c r="A20" s="6" t="s">
        <v>18</v>
      </c>
      <c r="B20">
        <f>COUNT(AQ3:AQ107)</f>
        <v>3</v>
      </c>
      <c r="C20">
        <f ca="1">CountCellsByColor(AQ3:AQ98, C1)</f>
        <v>2</v>
      </c>
      <c r="D20">
        <f ca="1">CountCellsByColor(AQ3:AQ98, D1)</f>
        <v>0</v>
      </c>
      <c r="F20">
        <f>SUM(B37,B48)</f>
        <v>2</v>
      </c>
      <c r="G20">
        <f t="shared" ref="G20:H20" ca="1" si="3">SUM(C37,C48)</f>
        <v>0</v>
      </c>
      <c r="H20">
        <f t="shared" ca="1" si="3"/>
        <v>0</v>
      </c>
      <c r="J20">
        <v>633</v>
      </c>
      <c r="K20">
        <v>259</v>
      </c>
      <c r="M20">
        <v>115</v>
      </c>
      <c r="N20">
        <v>144</v>
      </c>
      <c r="O20">
        <v>301</v>
      </c>
      <c r="Q20">
        <v>173</v>
      </c>
      <c r="S20">
        <v>282</v>
      </c>
      <c r="T20">
        <v>318</v>
      </c>
      <c r="AB20">
        <v>376</v>
      </c>
      <c r="AV20" s="13">
        <v>1399</v>
      </c>
      <c r="AW20" s="13"/>
      <c r="BL20">
        <v>388</v>
      </c>
    </row>
    <row r="21" spans="1:64" x14ac:dyDescent="0.25">
      <c r="A21" s="6" t="s">
        <v>19</v>
      </c>
      <c r="B21">
        <f>COUNT(AH3:AH108)</f>
        <v>2</v>
      </c>
      <c r="C21">
        <f ca="1">CountCellsByColor(AH3:AH98, C1)</f>
        <v>0</v>
      </c>
      <c r="D21">
        <f ca="1">CountCellsByColor(AH3:AH98, D1)</f>
        <v>0</v>
      </c>
      <c r="J21">
        <v>315</v>
      </c>
      <c r="K21">
        <v>260</v>
      </c>
      <c r="M21">
        <v>117</v>
      </c>
      <c r="N21">
        <v>148</v>
      </c>
      <c r="O21">
        <v>305</v>
      </c>
      <c r="Q21">
        <v>241</v>
      </c>
      <c r="S21">
        <v>407</v>
      </c>
      <c r="T21">
        <v>386</v>
      </c>
      <c r="AB21">
        <v>377</v>
      </c>
      <c r="AV21" s="16">
        <v>1446</v>
      </c>
      <c r="AW21" s="13"/>
      <c r="BL21">
        <v>390</v>
      </c>
    </row>
    <row r="22" spans="1:64" x14ac:dyDescent="0.25">
      <c r="A22" s="6" t="s">
        <v>20</v>
      </c>
      <c r="B22">
        <f>COUNT(AS3:AS109)</f>
        <v>1</v>
      </c>
      <c r="C22">
        <f ca="1">CountCellsByColor(AS3:AS98, C1)</f>
        <v>0</v>
      </c>
      <c r="D22">
        <f ca="1">CountCellsByColor(AS3:AS98, D1)</f>
        <v>0</v>
      </c>
      <c r="F22" s="18" t="s">
        <v>88</v>
      </c>
      <c r="G22" s="18"/>
      <c r="H22" s="18"/>
      <c r="J22">
        <v>1004</v>
      </c>
      <c r="K22">
        <v>184</v>
      </c>
      <c r="M22">
        <v>118</v>
      </c>
      <c r="N22" s="8">
        <v>160</v>
      </c>
      <c r="O22">
        <v>338</v>
      </c>
      <c r="Q22">
        <v>253</v>
      </c>
      <c r="S22">
        <v>507</v>
      </c>
      <c r="T22">
        <v>416</v>
      </c>
      <c r="AB22">
        <v>396</v>
      </c>
      <c r="AV22" s="16">
        <v>1447</v>
      </c>
      <c r="AW22" s="13"/>
      <c r="BL22">
        <v>395</v>
      </c>
    </row>
    <row r="23" spans="1:64" x14ac:dyDescent="0.25">
      <c r="A23" s="6" t="s">
        <v>21</v>
      </c>
      <c r="B23">
        <f>COUNT(AG3:AG100)</f>
        <v>10</v>
      </c>
      <c r="C23">
        <f ca="1">CountCellsByColor(AG3:AG98, C1)</f>
        <v>1</v>
      </c>
      <c r="D23">
        <f ca="1">CountCellsByColor(AG3:AG98, D1)</f>
        <v>0</v>
      </c>
      <c r="F23">
        <f>SUM(B24, B40)</f>
        <v>7</v>
      </c>
      <c r="G23">
        <f t="shared" ref="G23:H23" ca="1" si="4">SUM(C24, C40)</f>
        <v>0</v>
      </c>
      <c r="H23">
        <f t="shared" ca="1" si="4"/>
        <v>0</v>
      </c>
      <c r="K23">
        <v>220</v>
      </c>
      <c r="M23">
        <v>120</v>
      </c>
      <c r="N23">
        <v>190</v>
      </c>
      <c r="O23">
        <v>342</v>
      </c>
      <c r="Q23">
        <v>142</v>
      </c>
      <c r="S23">
        <v>512</v>
      </c>
      <c r="T23">
        <v>439</v>
      </c>
      <c r="AB23">
        <v>397</v>
      </c>
      <c r="AV23" s="13">
        <v>1448</v>
      </c>
      <c r="AW23" s="13"/>
      <c r="BL23">
        <v>409</v>
      </c>
    </row>
    <row r="24" spans="1:64" x14ac:dyDescent="0.25">
      <c r="A24" s="6" t="s">
        <v>22</v>
      </c>
      <c r="B24">
        <f>COUNT(AK3:AK100)</f>
        <v>1</v>
      </c>
      <c r="C24">
        <f ca="1">CountCellsByColor(AK3:AK98, C1)</f>
        <v>0</v>
      </c>
      <c r="D24">
        <f ca="1">CountCellsByColor(AK3:AK98, D1)</f>
        <v>0</v>
      </c>
      <c r="K24">
        <v>174</v>
      </c>
      <c r="M24" s="8">
        <v>124</v>
      </c>
      <c r="N24">
        <v>191</v>
      </c>
      <c r="O24">
        <v>346</v>
      </c>
      <c r="Q24" s="9">
        <v>204</v>
      </c>
      <c r="S24">
        <v>619</v>
      </c>
      <c r="T24">
        <v>450</v>
      </c>
      <c r="AB24">
        <v>622</v>
      </c>
      <c r="AV24" s="13">
        <v>1449</v>
      </c>
      <c r="AW24" s="13"/>
      <c r="BL24">
        <v>410</v>
      </c>
    </row>
    <row r="25" spans="1:64" x14ac:dyDescent="0.25">
      <c r="A25" s="6" t="s">
        <v>23</v>
      </c>
      <c r="B25">
        <f>COUNT(Y3:Y100)</f>
        <v>9</v>
      </c>
      <c r="C25">
        <f ca="1">CountCellsByColor(Y3:Y98, C1)</f>
        <v>1</v>
      </c>
      <c r="D25">
        <f ca="1">CountCellsByColor(Y3:Y98, D1)</f>
        <v>1</v>
      </c>
      <c r="F25" s="18" t="s">
        <v>87</v>
      </c>
      <c r="G25" s="18"/>
      <c r="H25" s="18"/>
      <c r="K25">
        <v>257</v>
      </c>
      <c r="M25" s="8">
        <v>129</v>
      </c>
      <c r="N25">
        <v>192</v>
      </c>
      <c r="O25">
        <v>343</v>
      </c>
      <c r="Q25">
        <v>249</v>
      </c>
      <c r="S25">
        <v>421</v>
      </c>
      <c r="AB25">
        <v>631</v>
      </c>
      <c r="AV25" s="13">
        <v>1484</v>
      </c>
      <c r="AW25" s="13"/>
      <c r="BL25">
        <v>411</v>
      </c>
    </row>
    <row r="26" spans="1:64" x14ac:dyDescent="0.25">
      <c r="A26" s="6" t="s">
        <v>24</v>
      </c>
      <c r="B26">
        <f>COUNT(AR3:AR100)</f>
        <v>1</v>
      </c>
      <c r="C26">
        <f ca="1">CountCellsByColor(AR3:AR98, C1)</f>
        <v>0</v>
      </c>
      <c r="D26">
        <f ca="1">CountCellsByColor(AR3:AR98, D1)</f>
        <v>1</v>
      </c>
      <c r="F26">
        <f>SUM(B14)</f>
        <v>1</v>
      </c>
      <c r="G26">
        <f t="shared" ref="G26:H26" ca="1" si="5">SUM(C14)</f>
        <v>0</v>
      </c>
      <c r="H26">
        <f t="shared" ca="1" si="5"/>
        <v>1</v>
      </c>
      <c r="K26">
        <v>265</v>
      </c>
      <c r="M26">
        <v>134</v>
      </c>
      <c r="N26">
        <v>195</v>
      </c>
      <c r="O26" s="8">
        <v>391</v>
      </c>
      <c r="Q26">
        <v>250</v>
      </c>
      <c r="S26">
        <v>431</v>
      </c>
      <c r="AB26">
        <v>632</v>
      </c>
      <c r="AV26" s="13">
        <v>1492</v>
      </c>
      <c r="AW26" s="13"/>
      <c r="BL26">
        <v>412</v>
      </c>
    </row>
    <row r="27" spans="1:64" x14ac:dyDescent="0.25">
      <c r="A27" s="6" t="s">
        <v>27</v>
      </c>
      <c r="B27">
        <f>COUNT(AN3:AN114)</f>
        <v>1</v>
      </c>
      <c r="C27">
        <f ca="1">CountCellsByColor(AN3:AN98, C1)</f>
        <v>0</v>
      </c>
      <c r="D27">
        <f ca="1">CountCellsByColor(AN3:AN98, D1)</f>
        <v>1</v>
      </c>
      <c r="K27">
        <v>375</v>
      </c>
      <c r="M27" s="9">
        <v>135</v>
      </c>
      <c r="N27">
        <v>197</v>
      </c>
      <c r="O27" s="8">
        <v>401</v>
      </c>
      <c r="Q27">
        <v>274</v>
      </c>
      <c r="AB27">
        <v>634</v>
      </c>
      <c r="AV27" s="13">
        <v>1500</v>
      </c>
      <c r="AW27" s="13"/>
      <c r="BL27">
        <v>414</v>
      </c>
    </row>
    <row r="28" spans="1:64" x14ac:dyDescent="0.25">
      <c r="A28" s="6" t="s">
        <v>25</v>
      </c>
      <c r="B28">
        <f>COUNT(U3:U100)</f>
        <v>9</v>
      </c>
      <c r="C28">
        <f ca="1">CountCellsByColor(U3:U98, C1)</f>
        <v>4</v>
      </c>
      <c r="D28">
        <f ca="1">CountCellsByColor(U3:U98, D1)</f>
        <v>0</v>
      </c>
      <c r="F28" s="19" t="s">
        <v>86</v>
      </c>
      <c r="G28" s="19"/>
      <c r="H28" s="19"/>
      <c r="K28" s="8">
        <v>522</v>
      </c>
      <c r="M28" s="9">
        <v>143</v>
      </c>
      <c r="N28" s="8">
        <v>205</v>
      </c>
      <c r="O28">
        <v>402</v>
      </c>
      <c r="Q28">
        <v>339</v>
      </c>
      <c r="AB28">
        <v>664</v>
      </c>
      <c r="AV28" s="13">
        <v>1507</v>
      </c>
      <c r="AW28" s="13"/>
      <c r="BL28">
        <v>418</v>
      </c>
    </row>
    <row r="29" spans="1:64" x14ac:dyDescent="0.25">
      <c r="A29" s="6" t="s">
        <v>59</v>
      </c>
      <c r="B29">
        <f>COUNT(AM3:AM100)</f>
        <v>1</v>
      </c>
      <c r="C29">
        <f ca="1">CountCellsByColor(AM3:AM98, C1)</f>
        <v>0</v>
      </c>
      <c r="D29">
        <f ca="1">CountCellsByColor(AM3:AM98, D1)</f>
        <v>0</v>
      </c>
      <c r="F29">
        <f>SUM(B47,B42,B31,B32)</f>
        <v>12</v>
      </c>
      <c r="G29">
        <f ca="1">SUM(C47,C42,C31,C32)</f>
        <v>1</v>
      </c>
      <c r="H29">
        <f ca="1">SUM(D47,D42,D31,D32)</f>
        <v>0</v>
      </c>
      <c r="K29">
        <v>534</v>
      </c>
      <c r="M29">
        <v>146</v>
      </c>
      <c r="N29">
        <v>209</v>
      </c>
      <c r="O29">
        <v>403</v>
      </c>
      <c r="Q29">
        <v>348</v>
      </c>
      <c r="AB29">
        <v>665</v>
      </c>
      <c r="AV29" s="13">
        <v>1510</v>
      </c>
      <c r="AW29" s="13"/>
      <c r="BL29">
        <v>420</v>
      </c>
    </row>
    <row r="30" spans="1:64" x14ac:dyDescent="0.25">
      <c r="A30" s="6" t="s">
        <v>28</v>
      </c>
      <c r="B30">
        <f>COUNT(W3:W100)</f>
        <v>2</v>
      </c>
      <c r="C30">
        <f ca="1">CountCellsByColor(W3:W98, C1)</f>
        <v>0</v>
      </c>
      <c r="D30">
        <f ca="1">CountCellsByColor(W3:W98, D1)</f>
        <v>0</v>
      </c>
      <c r="K30" s="8">
        <v>540</v>
      </c>
      <c r="M30">
        <v>162</v>
      </c>
      <c r="N30" s="8">
        <v>210</v>
      </c>
      <c r="O30">
        <v>404</v>
      </c>
      <c r="Q30">
        <v>341</v>
      </c>
      <c r="AB30">
        <v>446</v>
      </c>
      <c r="AV30" s="13">
        <v>1525</v>
      </c>
      <c r="AW30" s="13"/>
      <c r="BL30">
        <v>422</v>
      </c>
    </row>
    <row r="31" spans="1:64" x14ac:dyDescent="0.25">
      <c r="A31" s="6" t="s">
        <v>29</v>
      </c>
      <c r="B31">
        <f>COUNT(AP3:AP100)</f>
        <v>5</v>
      </c>
      <c r="C31">
        <f ca="1">CountCellsByColor(AP3:AP98, C1)</f>
        <v>0</v>
      </c>
      <c r="D31">
        <f ca="1">CountCellsByColor(AP3:AP98, D1)</f>
        <v>0</v>
      </c>
      <c r="F31" s="19" t="s">
        <v>85</v>
      </c>
      <c r="G31" s="19"/>
      <c r="H31" s="19"/>
      <c r="K31">
        <v>545</v>
      </c>
      <c r="M31" s="9">
        <v>163</v>
      </c>
      <c r="N31" s="8">
        <v>351</v>
      </c>
      <c r="O31">
        <v>405</v>
      </c>
      <c r="Q31">
        <v>374</v>
      </c>
      <c r="AB31" s="6">
        <v>1188</v>
      </c>
      <c r="AV31" s="13">
        <v>1528</v>
      </c>
      <c r="AW31" s="13"/>
      <c r="BL31">
        <v>425</v>
      </c>
    </row>
    <row r="32" spans="1:64" x14ac:dyDescent="0.25">
      <c r="A32" s="6" t="s">
        <v>30</v>
      </c>
      <c r="B32">
        <f>COUNT(AO3:AO100)</f>
        <v>5</v>
      </c>
      <c r="C32">
        <f ca="1">CountCellsByColor(AO3:AO98, C1)</f>
        <v>1</v>
      </c>
      <c r="D32">
        <f ca="1">CountCellsByColor(AO3:AO98, D1)</f>
        <v>0</v>
      </c>
      <c r="F32">
        <f>SUM(B34,B13)</f>
        <v>3</v>
      </c>
      <c r="G32">
        <f t="shared" ref="G32:H32" ca="1" si="6">SUM(C34,C13)</f>
        <v>1</v>
      </c>
      <c r="H32">
        <f t="shared" ca="1" si="6"/>
        <v>1</v>
      </c>
      <c r="K32">
        <v>607</v>
      </c>
      <c r="M32">
        <v>167</v>
      </c>
      <c r="N32" s="8">
        <v>279</v>
      </c>
      <c r="O32" s="8">
        <v>437</v>
      </c>
      <c r="Q32">
        <v>379</v>
      </c>
      <c r="AV32" s="13">
        <v>1529</v>
      </c>
      <c r="AW32" s="13"/>
      <c r="BL32">
        <v>426</v>
      </c>
    </row>
    <row r="33" spans="1:64" x14ac:dyDescent="0.25">
      <c r="A33" s="6" t="s">
        <v>31</v>
      </c>
      <c r="B33">
        <f>COUNT(AJ3:AJ100)</f>
        <v>2</v>
      </c>
      <c r="C33">
        <f ca="1">CountCellsByColor(AJ3:AJ98, C1)</f>
        <v>0</v>
      </c>
      <c r="D33">
        <f ca="1">CountCellsByColor(AJ3:AJ98, D1)</f>
        <v>0</v>
      </c>
      <c r="K33">
        <v>674</v>
      </c>
      <c r="M33">
        <v>168</v>
      </c>
      <c r="N33" s="10">
        <v>180</v>
      </c>
      <c r="O33">
        <v>505</v>
      </c>
      <c r="Q33">
        <v>578</v>
      </c>
      <c r="AV33" s="13">
        <v>1531</v>
      </c>
      <c r="AW33" s="13"/>
      <c r="BL33">
        <v>427</v>
      </c>
    </row>
    <row r="34" spans="1:64" x14ac:dyDescent="0.25">
      <c r="A34" s="6" t="s">
        <v>63</v>
      </c>
      <c r="B34">
        <f>COUNT(AT3:AT100)</f>
        <v>1</v>
      </c>
      <c r="C34">
        <f ca="1">CountCellsByColor(AT3:AT98, C1)</f>
        <v>0</v>
      </c>
      <c r="D34">
        <f ca="1">CountCellsByColor(AT3:AT98, D1)</f>
        <v>0</v>
      </c>
      <c r="F34" s="19" t="s">
        <v>84</v>
      </c>
      <c r="G34" s="19"/>
      <c r="H34" s="19"/>
      <c r="K34">
        <v>308</v>
      </c>
      <c r="M34">
        <v>169</v>
      </c>
      <c r="N34" s="10">
        <v>264</v>
      </c>
      <c r="O34">
        <v>516</v>
      </c>
      <c r="Q34">
        <v>620</v>
      </c>
      <c r="AV34" s="13">
        <v>1532</v>
      </c>
      <c r="AW34" s="13"/>
      <c r="BL34">
        <v>428</v>
      </c>
    </row>
    <row r="35" spans="1:64" x14ac:dyDescent="0.25">
      <c r="A35" s="6" t="s">
        <v>64</v>
      </c>
      <c r="B35">
        <f>COUNT(AU3:AU101)</f>
        <v>2</v>
      </c>
      <c r="C35">
        <f ca="1">CountCellsByColor(AU3:AU99, C1)</f>
        <v>0</v>
      </c>
      <c r="D35">
        <f ca="1">CountCellsByColor(AU3:AU99, D1)</f>
        <v>0</v>
      </c>
      <c r="F35">
        <v>0</v>
      </c>
      <c r="G35">
        <v>0</v>
      </c>
      <c r="H35">
        <v>0</v>
      </c>
      <c r="K35">
        <v>309</v>
      </c>
      <c r="M35">
        <v>170</v>
      </c>
      <c r="N35" s="10">
        <v>268</v>
      </c>
      <c r="O35" s="8">
        <v>604</v>
      </c>
      <c r="Q35">
        <v>317</v>
      </c>
      <c r="AV35" s="13">
        <v>1534</v>
      </c>
      <c r="AW35" s="13"/>
      <c r="BL35">
        <v>429</v>
      </c>
    </row>
    <row r="36" spans="1:64" x14ac:dyDescent="0.25">
      <c r="A36" s="6" t="s">
        <v>65</v>
      </c>
      <c r="B36">
        <f>COUNT(AV3:AV101)</f>
        <v>39</v>
      </c>
      <c r="C36">
        <f ca="1">CountCellsByColor(AV3:AV99, C1)</f>
        <v>2</v>
      </c>
      <c r="D36">
        <f ca="1">CountCellsByColor(AV3:AV99, D1)</f>
        <v>0</v>
      </c>
      <c r="K36">
        <v>369</v>
      </c>
      <c r="M36">
        <v>176</v>
      </c>
      <c r="N36" s="10">
        <v>270</v>
      </c>
      <c r="O36">
        <v>621</v>
      </c>
      <c r="Q36">
        <v>352</v>
      </c>
      <c r="AV36" s="13">
        <v>1535</v>
      </c>
      <c r="AW36" s="13"/>
      <c r="BL36">
        <v>430</v>
      </c>
    </row>
    <row r="37" spans="1:64" x14ac:dyDescent="0.25">
      <c r="A37" s="6" t="s">
        <v>66</v>
      </c>
      <c r="B37">
        <f>COUNT(AW3:AW101)</f>
        <v>1</v>
      </c>
      <c r="C37">
        <f ca="1">CountCellsByColor(AW3:AW99, C1)</f>
        <v>0</v>
      </c>
      <c r="D37">
        <f ca="1">CountCellsByColor(AW3:AW99, D1)</f>
        <v>0</v>
      </c>
      <c r="F37" s="20" t="s">
        <v>83</v>
      </c>
      <c r="G37" s="20"/>
      <c r="H37" s="20"/>
      <c r="K37">
        <v>371</v>
      </c>
      <c r="M37">
        <v>194</v>
      </c>
      <c r="N37" s="10">
        <v>276</v>
      </c>
      <c r="O37">
        <v>689</v>
      </c>
      <c r="Q37">
        <v>415</v>
      </c>
      <c r="AV37" s="13">
        <v>1537</v>
      </c>
      <c r="AW37" s="13"/>
      <c r="BL37">
        <v>433</v>
      </c>
    </row>
    <row r="38" spans="1:64" x14ac:dyDescent="0.25">
      <c r="A38" s="6" t="s">
        <v>67</v>
      </c>
      <c r="B38">
        <f>COUNT(AX3:AX101)</f>
        <v>6</v>
      </c>
      <c r="C38">
        <f ca="1">CountCellsByColor(AX3:AX99, C1)</f>
        <v>0</v>
      </c>
      <c r="D38">
        <f ca="1">CountCellsByColor(AX3:AX99, D1)</f>
        <v>0</v>
      </c>
      <c r="F38">
        <f>SUM(B45)</f>
        <v>1</v>
      </c>
      <c r="G38">
        <f t="shared" ref="G38:H38" ca="1" si="7">SUM(C45)</f>
        <v>0</v>
      </c>
      <c r="H38">
        <f t="shared" ca="1" si="7"/>
        <v>0</v>
      </c>
      <c r="K38">
        <v>385</v>
      </c>
      <c r="M38" s="8">
        <v>200</v>
      </c>
      <c r="N38" s="8">
        <v>278</v>
      </c>
      <c r="O38">
        <v>694</v>
      </c>
      <c r="Q38">
        <v>417</v>
      </c>
      <c r="AV38" s="13">
        <v>1538</v>
      </c>
      <c r="AW38" s="13"/>
      <c r="BL38">
        <v>443</v>
      </c>
    </row>
    <row r="39" spans="1:64" x14ac:dyDescent="0.25">
      <c r="A39" s="6" t="s">
        <v>45</v>
      </c>
      <c r="B39">
        <f>COUNT(X3:X101)</f>
        <v>1</v>
      </c>
      <c r="C39">
        <f ca="1">CountCellsByColor(X3:X99, C1)</f>
        <v>0</v>
      </c>
      <c r="D39">
        <f ca="1">CountCellsByColor(X3:X99, D1)</f>
        <v>0</v>
      </c>
      <c r="K39">
        <v>424</v>
      </c>
      <c r="M39">
        <v>208</v>
      </c>
      <c r="N39" s="10">
        <v>294</v>
      </c>
      <c r="O39">
        <v>701</v>
      </c>
      <c r="Q39">
        <v>419</v>
      </c>
      <c r="AV39" s="13">
        <v>1539</v>
      </c>
      <c r="AW39" s="13"/>
      <c r="BL39">
        <v>445</v>
      </c>
    </row>
    <row r="40" spans="1:64" x14ac:dyDescent="0.25">
      <c r="A40" s="6" t="s">
        <v>68</v>
      </c>
      <c r="B40">
        <f>COUNT(AY3:AY101)</f>
        <v>6</v>
      </c>
      <c r="C40">
        <f ca="1">CountCellsByColor(AY3:AY99, C1)</f>
        <v>0</v>
      </c>
      <c r="D40">
        <f ca="1">CountCellsByColor(AY3:AY99, D1)</f>
        <v>0</v>
      </c>
      <c r="F40" s="20" t="s">
        <v>82</v>
      </c>
      <c r="G40" s="20"/>
      <c r="H40" s="20"/>
      <c r="K40">
        <v>449</v>
      </c>
      <c r="M40">
        <v>212</v>
      </c>
      <c r="N40" s="10">
        <v>296</v>
      </c>
      <c r="O40" s="8">
        <v>718</v>
      </c>
      <c r="Q40">
        <v>444</v>
      </c>
      <c r="AV40" s="13">
        <v>1541</v>
      </c>
      <c r="AW40" s="13"/>
      <c r="BL40">
        <v>451</v>
      </c>
    </row>
    <row r="41" spans="1:64" x14ac:dyDescent="0.25">
      <c r="A41" s="6" t="s">
        <v>69</v>
      </c>
      <c r="B41">
        <f>COUNT(AZ3:AZ101)</f>
        <v>1</v>
      </c>
      <c r="C41">
        <f ca="1">CountCellsByColor(AZ3:AZ99, C1)</f>
        <v>0</v>
      </c>
      <c r="D41">
        <f ca="1">CountCellsByColor(AZ3:AZ99, D1)</f>
        <v>0</v>
      </c>
      <c r="F41">
        <f>SUM(B43,B41)</f>
        <v>3</v>
      </c>
      <c r="G41">
        <f ca="1">SUM(C43,C41)</f>
        <v>0</v>
      </c>
      <c r="H41">
        <f ca="1">SUM(D43,D41)</f>
        <v>0</v>
      </c>
      <c r="K41">
        <v>1013</v>
      </c>
      <c r="M41">
        <v>214</v>
      </c>
      <c r="N41" s="10">
        <v>298</v>
      </c>
      <c r="O41">
        <v>316</v>
      </c>
      <c r="Q41">
        <v>1038</v>
      </c>
      <c r="AV41" s="13">
        <v>1542</v>
      </c>
      <c r="AW41" s="13"/>
      <c r="BL41">
        <v>452</v>
      </c>
    </row>
    <row r="42" spans="1:64" x14ac:dyDescent="0.25">
      <c r="A42" s="6" t="s">
        <v>70</v>
      </c>
      <c r="B42">
        <f>COUNT(BA3:BA101)</f>
        <v>1</v>
      </c>
      <c r="C42">
        <f ca="1">CountCellsByColor(BA3:BA99, C1)</f>
        <v>0</v>
      </c>
      <c r="D42">
        <f ca="1">CountCellsByColor(BA3:BA99, D1)</f>
        <v>0</v>
      </c>
      <c r="K42">
        <v>1014</v>
      </c>
      <c r="M42" s="8">
        <v>215</v>
      </c>
      <c r="N42" s="10">
        <v>299</v>
      </c>
      <c r="O42">
        <v>392</v>
      </c>
      <c r="Q42">
        <v>1094</v>
      </c>
      <c r="BL42">
        <v>453</v>
      </c>
    </row>
    <row r="43" spans="1:64" x14ac:dyDescent="0.25">
      <c r="A43" s="6" t="s">
        <v>71</v>
      </c>
      <c r="B43">
        <f>COUNT(BB3:BB101)</f>
        <v>2</v>
      </c>
      <c r="C43">
        <f ca="1">CountCellsByColor(BB3:BB99, C1)</f>
        <v>0</v>
      </c>
      <c r="D43">
        <f ca="1">CountCellsByColor(BB3:BB99, D1)</f>
        <v>0</v>
      </c>
      <c r="F43" s="20" t="s">
        <v>81</v>
      </c>
      <c r="G43" s="20"/>
      <c r="H43" s="20"/>
      <c r="K43" s="6">
        <v>1104</v>
      </c>
      <c r="M43">
        <v>216</v>
      </c>
      <c r="N43" s="10">
        <v>300</v>
      </c>
      <c r="O43">
        <v>398</v>
      </c>
      <c r="BL43">
        <v>454</v>
      </c>
    </row>
    <row r="44" spans="1:64" x14ac:dyDescent="0.25">
      <c r="A44" s="6" t="s">
        <v>72</v>
      </c>
      <c r="B44">
        <f>COUNT(BC3:BC101)</f>
        <v>1</v>
      </c>
      <c r="C44">
        <f ca="1">CountCellsByColor(BC3:BC99, C1)</f>
        <v>1</v>
      </c>
      <c r="D44">
        <f ca="1">CountCellsByColor(BC3:BC99, D1)</f>
        <v>0</v>
      </c>
      <c r="F44" s="22">
        <f>SUM(B36,B51,B52,B27)</f>
        <v>45</v>
      </c>
      <c r="G44" s="22">
        <f t="shared" ref="G44:H44" ca="1" si="8">SUM(C36,C51,C52,C27)</f>
        <v>2</v>
      </c>
      <c r="H44" s="22">
        <f t="shared" ca="1" si="8"/>
        <v>1</v>
      </c>
      <c r="K44" s="6">
        <v>1246</v>
      </c>
      <c r="M44">
        <v>221</v>
      </c>
      <c r="N44" s="10">
        <v>502</v>
      </c>
      <c r="O44">
        <v>399</v>
      </c>
      <c r="BL44">
        <v>455</v>
      </c>
    </row>
    <row r="45" spans="1:64" x14ac:dyDescent="0.25">
      <c r="A45" s="6" t="s">
        <v>73</v>
      </c>
      <c r="B45">
        <f>COUNT(BD3:BD101)</f>
        <v>1</v>
      </c>
      <c r="C45">
        <f ca="1">CountCellsByColor(BD3:BD99, C1)</f>
        <v>0</v>
      </c>
      <c r="D45">
        <f ca="1">CountCellsByColor(BD3:BD99, D1)</f>
        <v>0</v>
      </c>
      <c r="F45" s="21"/>
      <c r="G45" s="21"/>
      <c r="H45" s="21"/>
      <c r="K45" s="6">
        <v>1250</v>
      </c>
      <c r="M45">
        <v>223</v>
      </c>
      <c r="N45" s="10">
        <v>503</v>
      </c>
      <c r="O45">
        <v>440</v>
      </c>
      <c r="BL45">
        <v>456</v>
      </c>
    </row>
    <row r="46" spans="1:64" x14ac:dyDescent="0.25">
      <c r="A46" s="6" t="s">
        <v>74</v>
      </c>
      <c r="B46">
        <f>COUNT(BE3:BE100)</f>
        <v>4</v>
      </c>
      <c r="C46">
        <f ca="1">CountCellsByColor(BE3:BE99, C1)</f>
        <v>0</v>
      </c>
      <c r="D46">
        <f ca="1">CountCellsByColor(BE3:BE99, D1)</f>
        <v>0</v>
      </c>
      <c r="F46" s="20" t="s">
        <v>94</v>
      </c>
      <c r="G46" s="20"/>
      <c r="H46" s="20"/>
      <c r="M46">
        <v>224</v>
      </c>
      <c r="N46" s="10">
        <v>504</v>
      </c>
      <c r="O46">
        <v>1077</v>
      </c>
      <c r="BL46">
        <v>457</v>
      </c>
    </row>
    <row r="47" spans="1:64" x14ac:dyDescent="0.25">
      <c r="A47" s="6" t="s">
        <v>75</v>
      </c>
      <c r="B47">
        <f>COUNT(BF3:BF100)</f>
        <v>1</v>
      </c>
      <c r="C47">
        <f ca="1">CountCellsByColor(BF3:BF99, C1)</f>
        <v>0</v>
      </c>
      <c r="D47">
        <f ca="1">CountCellsByColor(BF3:BF99, D1)</f>
        <v>0</v>
      </c>
      <c r="F47" s="22">
        <f>SUM(B44)</f>
        <v>1</v>
      </c>
      <c r="G47" s="22">
        <f t="shared" ref="G47:H47" ca="1" si="9">SUM(C44)</f>
        <v>1</v>
      </c>
      <c r="H47" s="22">
        <f t="shared" ca="1" si="9"/>
        <v>0</v>
      </c>
      <c r="M47" s="8">
        <v>226</v>
      </c>
      <c r="N47" s="10">
        <v>506</v>
      </c>
      <c r="O47">
        <v>1079</v>
      </c>
      <c r="BL47">
        <v>458</v>
      </c>
    </row>
    <row r="48" spans="1:64" x14ac:dyDescent="0.25">
      <c r="A48" s="6" t="s">
        <v>76</v>
      </c>
      <c r="B48">
        <f>COUNT(BG3:BG100)</f>
        <v>1</v>
      </c>
      <c r="C48">
        <f ca="1">CountCellsByColor(BG3:BG100, C1)</f>
        <v>0</v>
      </c>
      <c r="D48">
        <f ca="1">CountCellsByColor(BG3:BG100, D1)</f>
        <v>0</v>
      </c>
      <c r="F48" s="21"/>
      <c r="G48" s="21"/>
      <c r="H48" s="21"/>
      <c r="M48">
        <v>234</v>
      </c>
      <c r="N48" s="10">
        <v>508</v>
      </c>
      <c r="O48">
        <v>1080</v>
      </c>
      <c r="BL48">
        <v>459</v>
      </c>
    </row>
    <row r="49" spans="1:64" x14ac:dyDescent="0.25">
      <c r="A49" s="6" t="s">
        <v>44</v>
      </c>
      <c r="B49">
        <f>COUNT(V3:V100)</f>
        <v>1</v>
      </c>
      <c r="C49">
        <f ca="1">CountCellsByColor(V3:V100, C1)</f>
        <v>0</v>
      </c>
      <c r="D49">
        <f ca="1">CountCellsByColor(V3:V100, D1)</f>
        <v>0</v>
      </c>
      <c r="F49" s="20" t="s">
        <v>95</v>
      </c>
      <c r="G49" s="20"/>
      <c r="H49" s="20"/>
      <c r="M49">
        <v>236</v>
      </c>
      <c r="N49" s="10">
        <v>509</v>
      </c>
      <c r="O49" s="6">
        <v>1195</v>
      </c>
      <c r="BL49">
        <v>460</v>
      </c>
    </row>
    <row r="50" spans="1:64" x14ac:dyDescent="0.25">
      <c r="A50" s="6" t="s">
        <v>77</v>
      </c>
      <c r="B50">
        <f>COUNT(BH3:BH100)</f>
        <v>1</v>
      </c>
      <c r="C50">
        <f ca="1">CountCellsByColor(BH3:BH100, C1)</f>
        <v>0</v>
      </c>
      <c r="D50">
        <f ca="1">CountCellsByColor(BH3:BH100, D1)</f>
        <v>0</v>
      </c>
      <c r="F50" s="24">
        <v>0</v>
      </c>
      <c r="G50" s="24">
        <v>0</v>
      </c>
      <c r="H50" s="24">
        <v>0</v>
      </c>
      <c r="M50">
        <v>237</v>
      </c>
      <c r="N50" s="10">
        <v>582</v>
      </c>
      <c r="O50" s="6">
        <v>1249</v>
      </c>
      <c r="BL50">
        <v>461</v>
      </c>
    </row>
    <row r="51" spans="1:64" x14ac:dyDescent="0.25">
      <c r="A51" s="6" t="s">
        <v>78</v>
      </c>
      <c r="B51">
        <f>COUNT(BI3:BI100)</f>
        <v>3</v>
      </c>
      <c r="C51">
        <f ca="1">CountCellsByColor(BI3:BI100, C1)</f>
        <v>0</v>
      </c>
      <c r="D51">
        <f ca="1">CountCellsByColor(BI3:BI100, D1)</f>
        <v>0</v>
      </c>
      <c r="F51" s="23"/>
      <c r="G51" s="23"/>
      <c r="H51" s="23"/>
      <c r="M51">
        <v>255</v>
      </c>
      <c r="N51" s="10">
        <v>609</v>
      </c>
      <c r="O51" s="6">
        <v>1477</v>
      </c>
      <c r="BL51">
        <v>463</v>
      </c>
    </row>
    <row r="52" spans="1:64" x14ac:dyDescent="0.25">
      <c r="A52" s="6" t="s">
        <v>79</v>
      </c>
      <c r="B52">
        <f>COUNT(BJ3:BJ100)</f>
        <v>2</v>
      </c>
      <c r="C52">
        <f ca="1">CountCellsByColor(BJ3:BJ100, C1)</f>
        <v>0</v>
      </c>
      <c r="D52">
        <f ca="1">CountCellsByColor(BJ3:BJ100, D1)</f>
        <v>0</v>
      </c>
      <c r="F52" s="25" t="s">
        <v>96</v>
      </c>
      <c r="G52" s="25"/>
      <c r="H52" s="25"/>
      <c r="M52" s="8">
        <v>319</v>
      </c>
      <c r="N52" s="10">
        <v>610</v>
      </c>
      <c r="BL52">
        <v>464</v>
      </c>
    </row>
    <row r="53" spans="1:64" x14ac:dyDescent="0.25">
      <c r="F53" s="24">
        <f>SUM(B29, B16)</f>
        <v>6</v>
      </c>
      <c r="G53" s="24">
        <f t="shared" ref="G53:H53" ca="1" si="10">SUM(C29, C16)</f>
        <v>2</v>
      </c>
      <c r="H53" s="24">
        <f t="shared" ca="1" si="10"/>
        <v>0</v>
      </c>
      <c r="M53">
        <v>320</v>
      </c>
      <c r="N53" s="10">
        <v>611</v>
      </c>
      <c r="BL53">
        <v>465</v>
      </c>
    </row>
    <row r="54" spans="1:64" x14ac:dyDescent="0.25">
      <c r="M54">
        <v>325</v>
      </c>
      <c r="N54" s="10">
        <v>612</v>
      </c>
      <c r="BL54">
        <v>466</v>
      </c>
    </row>
    <row r="55" spans="1:64" x14ac:dyDescent="0.25">
      <c r="F55" s="26" t="s">
        <v>32</v>
      </c>
      <c r="G55" s="26"/>
      <c r="H55" s="26"/>
      <c r="M55" s="8">
        <v>326</v>
      </c>
      <c r="N55" s="8">
        <v>676</v>
      </c>
      <c r="BL55">
        <v>467</v>
      </c>
    </row>
    <row r="56" spans="1:64" x14ac:dyDescent="0.25">
      <c r="F56">
        <f>COUNT(BL3:BL1008)</f>
        <v>940</v>
      </c>
      <c r="G56">
        <f ca="1">CountCellsByColor(BL3:BL564,C1)</f>
        <v>1</v>
      </c>
      <c r="M56" s="8">
        <v>328</v>
      </c>
      <c r="N56" s="10">
        <v>690</v>
      </c>
      <c r="BL56">
        <v>468</v>
      </c>
    </row>
    <row r="57" spans="1:64" x14ac:dyDescent="0.25">
      <c r="M57">
        <v>331</v>
      </c>
      <c r="N57" s="10">
        <v>692</v>
      </c>
      <c r="BL57">
        <v>469</v>
      </c>
    </row>
    <row r="58" spans="1:64" x14ac:dyDescent="0.25">
      <c r="F58" s="27" t="s">
        <v>26</v>
      </c>
      <c r="G58" s="27"/>
      <c r="H58" s="27"/>
      <c r="M58">
        <v>332</v>
      </c>
      <c r="N58" s="10">
        <v>703</v>
      </c>
      <c r="BL58">
        <v>470</v>
      </c>
    </row>
    <row r="59" spans="1:64" x14ac:dyDescent="0.25">
      <c r="F59">
        <f>COUNT(BK3:BK100)</f>
        <v>3</v>
      </c>
      <c r="G59">
        <f ca="1">CountCellsByColor(BK3:BK98, C1)</f>
        <v>1</v>
      </c>
      <c r="H59">
        <f ca="1">CountCellsByColor(BK3:BK98, D1)</f>
        <v>2</v>
      </c>
      <c r="M59" s="8">
        <v>333</v>
      </c>
      <c r="N59" s="10">
        <v>779</v>
      </c>
      <c r="BL59">
        <v>471</v>
      </c>
    </row>
    <row r="60" spans="1:64" x14ac:dyDescent="0.25">
      <c r="M60">
        <v>334</v>
      </c>
      <c r="N60" s="10">
        <v>781</v>
      </c>
      <c r="BL60">
        <v>472</v>
      </c>
    </row>
    <row r="61" spans="1:64" x14ac:dyDescent="0.25">
      <c r="M61">
        <v>335</v>
      </c>
      <c r="N61" s="10">
        <v>782</v>
      </c>
      <c r="BL61">
        <v>473</v>
      </c>
    </row>
    <row r="62" spans="1:64" x14ac:dyDescent="0.25">
      <c r="M62" s="8">
        <v>266</v>
      </c>
      <c r="N62" s="10">
        <v>438</v>
      </c>
      <c r="BL62">
        <v>474</v>
      </c>
    </row>
    <row r="63" spans="1:64" x14ac:dyDescent="0.25">
      <c r="M63" s="8">
        <v>310</v>
      </c>
      <c r="N63" s="10">
        <v>448</v>
      </c>
      <c r="BL63">
        <v>475</v>
      </c>
    </row>
    <row r="64" spans="1:64" x14ac:dyDescent="0.25">
      <c r="M64" s="10">
        <v>227</v>
      </c>
      <c r="N64" s="6">
        <v>1244</v>
      </c>
      <c r="BL64">
        <v>476</v>
      </c>
    </row>
    <row r="65" spans="13:64" x14ac:dyDescent="0.25">
      <c r="M65" s="10">
        <v>228</v>
      </c>
      <c r="N65" s="6">
        <v>1253</v>
      </c>
      <c r="BL65">
        <v>477</v>
      </c>
    </row>
    <row r="66" spans="13:64" x14ac:dyDescent="0.25">
      <c r="M66" s="10">
        <v>229</v>
      </c>
      <c r="BL66">
        <v>478</v>
      </c>
    </row>
    <row r="67" spans="13:64" x14ac:dyDescent="0.25">
      <c r="M67" s="10">
        <v>247</v>
      </c>
      <c r="BL67">
        <v>479</v>
      </c>
    </row>
    <row r="68" spans="13:64" x14ac:dyDescent="0.25">
      <c r="M68" s="10">
        <v>271</v>
      </c>
      <c r="BL68">
        <v>480</v>
      </c>
    </row>
    <row r="69" spans="13:64" x14ac:dyDescent="0.25">
      <c r="M69" s="10">
        <v>272</v>
      </c>
      <c r="BL69">
        <v>481</v>
      </c>
    </row>
    <row r="70" spans="13:64" x14ac:dyDescent="0.25">
      <c r="M70" s="10">
        <v>283</v>
      </c>
      <c r="BL70">
        <v>482</v>
      </c>
    </row>
    <row r="71" spans="13:64" x14ac:dyDescent="0.25">
      <c r="M71" s="10">
        <v>287</v>
      </c>
      <c r="BL71">
        <v>483</v>
      </c>
    </row>
    <row r="72" spans="13:64" x14ac:dyDescent="0.25">
      <c r="M72" s="10">
        <v>297</v>
      </c>
      <c r="BL72">
        <v>484</v>
      </c>
    </row>
    <row r="73" spans="13:64" x14ac:dyDescent="0.25">
      <c r="M73" s="8">
        <v>306</v>
      </c>
      <c r="BL73">
        <v>485</v>
      </c>
    </row>
    <row r="74" spans="13:64" x14ac:dyDescent="0.25">
      <c r="M74" s="10">
        <v>347</v>
      </c>
      <c r="BL74">
        <v>486</v>
      </c>
    </row>
    <row r="75" spans="13:64" x14ac:dyDescent="0.25">
      <c r="M75" s="10">
        <v>373</v>
      </c>
      <c r="BL75">
        <v>487</v>
      </c>
    </row>
    <row r="76" spans="13:64" x14ac:dyDescent="0.25">
      <c r="M76" s="10">
        <v>378</v>
      </c>
      <c r="BL76">
        <v>488</v>
      </c>
    </row>
    <row r="77" spans="13:64" x14ac:dyDescent="0.25">
      <c r="M77" s="8">
        <v>382</v>
      </c>
      <c r="BL77">
        <v>489</v>
      </c>
    </row>
    <row r="78" spans="13:64" x14ac:dyDescent="0.25">
      <c r="M78" s="8">
        <v>389</v>
      </c>
      <c r="BL78">
        <v>490</v>
      </c>
    </row>
    <row r="79" spans="13:64" x14ac:dyDescent="0.25">
      <c r="M79" s="8">
        <v>393</v>
      </c>
      <c r="BL79">
        <v>491</v>
      </c>
    </row>
    <row r="80" spans="13:64" x14ac:dyDescent="0.25">
      <c r="M80" s="10">
        <v>408</v>
      </c>
      <c r="BL80">
        <v>493</v>
      </c>
    </row>
    <row r="81" spans="13:64" x14ac:dyDescent="0.25">
      <c r="M81" s="10">
        <v>511</v>
      </c>
      <c r="BL81">
        <v>494</v>
      </c>
    </row>
    <row r="82" spans="13:64" x14ac:dyDescent="0.25">
      <c r="M82" s="10">
        <v>513</v>
      </c>
      <c r="BL82">
        <v>496</v>
      </c>
    </row>
    <row r="83" spans="13:64" x14ac:dyDescent="0.25">
      <c r="M83" s="10">
        <v>605</v>
      </c>
      <c r="BL83">
        <v>497</v>
      </c>
    </row>
    <row r="84" spans="13:64" x14ac:dyDescent="0.25">
      <c r="M84" s="10">
        <v>606</v>
      </c>
      <c r="BL84">
        <v>498</v>
      </c>
    </row>
    <row r="85" spans="13:64" x14ac:dyDescent="0.25">
      <c r="M85" s="10">
        <v>608</v>
      </c>
      <c r="BL85">
        <v>499</v>
      </c>
    </row>
    <row r="86" spans="13:64" x14ac:dyDescent="0.25">
      <c r="M86" s="10">
        <v>626</v>
      </c>
      <c r="BL86">
        <v>500</v>
      </c>
    </row>
    <row r="87" spans="13:64" x14ac:dyDescent="0.25">
      <c r="M87" s="8">
        <v>637</v>
      </c>
      <c r="BL87">
        <v>501</v>
      </c>
    </row>
    <row r="88" spans="13:64" x14ac:dyDescent="0.25">
      <c r="M88" s="10">
        <v>638</v>
      </c>
      <c r="BL88">
        <v>510</v>
      </c>
    </row>
    <row r="89" spans="13:64" x14ac:dyDescent="0.25">
      <c r="M89" s="10">
        <v>673</v>
      </c>
      <c r="BL89">
        <v>514</v>
      </c>
    </row>
    <row r="90" spans="13:64" x14ac:dyDescent="0.25">
      <c r="M90" s="10">
        <v>675</v>
      </c>
      <c r="BL90">
        <v>515</v>
      </c>
    </row>
    <row r="91" spans="13:64" x14ac:dyDescent="0.25">
      <c r="M91" s="10">
        <v>695</v>
      </c>
      <c r="BL91">
        <v>517</v>
      </c>
    </row>
    <row r="92" spans="13:64" x14ac:dyDescent="0.25">
      <c r="M92" s="8">
        <v>729</v>
      </c>
      <c r="BL92">
        <v>518</v>
      </c>
    </row>
    <row r="93" spans="13:64" x14ac:dyDescent="0.25">
      <c r="M93" s="8">
        <v>730</v>
      </c>
      <c r="BL93">
        <v>519</v>
      </c>
    </row>
    <row r="94" spans="13:64" x14ac:dyDescent="0.25">
      <c r="M94" s="8">
        <v>731</v>
      </c>
      <c r="BL94">
        <v>520</v>
      </c>
    </row>
    <row r="95" spans="13:64" x14ac:dyDescent="0.25">
      <c r="M95" s="10">
        <v>732</v>
      </c>
      <c r="BL95">
        <v>521</v>
      </c>
    </row>
    <row r="96" spans="13:64" x14ac:dyDescent="0.25">
      <c r="M96" s="10">
        <v>767</v>
      </c>
      <c r="BL96">
        <v>523</v>
      </c>
    </row>
    <row r="97" spans="13:64" x14ac:dyDescent="0.25">
      <c r="M97" s="10">
        <v>780</v>
      </c>
      <c r="BL97">
        <v>524</v>
      </c>
    </row>
    <row r="98" spans="13:64" x14ac:dyDescent="0.25">
      <c r="M98" s="10">
        <v>783</v>
      </c>
      <c r="BL98">
        <v>526</v>
      </c>
    </row>
    <row r="99" spans="13:64" x14ac:dyDescent="0.25">
      <c r="M99" s="8">
        <v>859</v>
      </c>
      <c r="BL99">
        <v>527</v>
      </c>
    </row>
    <row r="100" spans="13:64" x14ac:dyDescent="0.25">
      <c r="M100" s="9">
        <v>358</v>
      </c>
      <c r="BL100">
        <v>528</v>
      </c>
    </row>
    <row r="101" spans="13:64" x14ac:dyDescent="0.25">
      <c r="M101" s="10">
        <v>261</v>
      </c>
      <c r="BL101">
        <v>529</v>
      </c>
    </row>
    <row r="102" spans="13:64" x14ac:dyDescent="0.25">
      <c r="M102" s="10">
        <v>383</v>
      </c>
      <c r="BL102">
        <v>530</v>
      </c>
    </row>
    <row r="103" spans="13:64" x14ac:dyDescent="0.25">
      <c r="M103" s="10">
        <v>394</v>
      </c>
      <c r="BL103">
        <v>531</v>
      </c>
    </row>
    <row r="104" spans="13:64" x14ac:dyDescent="0.25">
      <c r="M104" s="10">
        <v>432</v>
      </c>
      <c r="BL104">
        <v>532</v>
      </c>
    </row>
    <row r="105" spans="13:64" x14ac:dyDescent="0.25">
      <c r="M105" s="10">
        <v>435</v>
      </c>
      <c r="BL105">
        <v>533</v>
      </c>
    </row>
    <row r="106" spans="13:64" x14ac:dyDescent="0.25">
      <c r="M106" s="10">
        <v>436</v>
      </c>
      <c r="BL106">
        <v>535</v>
      </c>
    </row>
    <row r="107" spans="13:64" x14ac:dyDescent="0.25">
      <c r="M107" s="10">
        <v>447</v>
      </c>
      <c r="BL107">
        <v>536</v>
      </c>
    </row>
    <row r="108" spans="13:64" x14ac:dyDescent="0.25">
      <c r="M108" s="10">
        <v>1028</v>
      </c>
      <c r="BL108">
        <v>537</v>
      </c>
    </row>
    <row r="109" spans="13:64" x14ac:dyDescent="0.25">
      <c r="M109" s="10">
        <v>1029</v>
      </c>
      <c r="BL109">
        <v>538</v>
      </c>
    </row>
    <row r="110" spans="13:64" x14ac:dyDescent="0.25">
      <c r="M110" s="10">
        <v>1082</v>
      </c>
      <c r="BL110">
        <v>539</v>
      </c>
    </row>
    <row r="111" spans="13:64" x14ac:dyDescent="0.25">
      <c r="M111" s="10">
        <v>1096</v>
      </c>
      <c r="BL111">
        <v>541</v>
      </c>
    </row>
    <row r="112" spans="13:64" x14ac:dyDescent="0.25">
      <c r="M112" s="10">
        <v>1098</v>
      </c>
      <c r="BL112">
        <v>542</v>
      </c>
    </row>
    <row r="113" spans="13:64" x14ac:dyDescent="0.25">
      <c r="M113" s="14">
        <v>1241</v>
      </c>
      <c r="N113" s="14"/>
      <c r="BL113">
        <v>543</v>
      </c>
    </row>
    <row r="114" spans="13:64" x14ac:dyDescent="0.25">
      <c r="M114" s="14">
        <v>1242</v>
      </c>
      <c r="N114" s="14"/>
      <c r="BL114">
        <v>548</v>
      </c>
    </row>
    <row r="115" spans="13:64" x14ac:dyDescent="0.25">
      <c r="M115" s="14">
        <v>1251</v>
      </c>
      <c r="N115" s="14"/>
      <c r="BL115">
        <v>549</v>
      </c>
    </row>
    <row r="116" spans="13:64" x14ac:dyDescent="0.25">
      <c r="M116" s="14">
        <v>1252</v>
      </c>
      <c r="N116" s="14"/>
      <c r="BL116">
        <v>550</v>
      </c>
    </row>
    <row r="117" spans="13:64" x14ac:dyDescent="0.25">
      <c r="M117" s="14">
        <v>1432</v>
      </c>
      <c r="N117" s="14"/>
      <c r="BL117">
        <v>551</v>
      </c>
    </row>
    <row r="118" spans="13:64" x14ac:dyDescent="0.25">
      <c r="M118" s="15">
        <v>1489</v>
      </c>
      <c r="BL118">
        <v>552</v>
      </c>
    </row>
    <row r="119" spans="13:64" x14ac:dyDescent="0.25">
      <c r="BL119">
        <v>553</v>
      </c>
    </row>
    <row r="120" spans="13:64" x14ac:dyDescent="0.25">
      <c r="BL120">
        <v>554</v>
      </c>
    </row>
    <row r="121" spans="13:64" x14ac:dyDescent="0.25">
      <c r="BL121">
        <v>555</v>
      </c>
    </row>
    <row r="122" spans="13:64" x14ac:dyDescent="0.25">
      <c r="BL122">
        <v>556</v>
      </c>
    </row>
    <row r="123" spans="13:64" x14ac:dyDescent="0.25">
      <c r="BL123">
        <v>557</v>
      </c>
    </row>
    <row r="124" spans="13:64" x14ac:dyDescent="0.25">
      <c r="BL124">
        <v>558</v>
      </c>
    </row>
    <row r="125" spans="13:64" x14ac:dyDescent="0.25">
      <c r="BL125">
        <v>559</v>
      </c>
    </row>
    <row r="126" spans="13:64" x14ac:dyDescent="0.25">
      <c r="BL126">
        <v>560</v>
      </c>
    </row>
    <row r="127" spans="13:64" x14ac:dyDescent="0.25">
      <c r="BL127">
        <v>562</v>
      </c>
    </row>
    <row r="128" spans="13:64" x14ac:dyDescent="0.25">
      <c r="BL128">
        <v>563</v>
      </c>
    </row>
    <row r="129" spans="64:64" x14ac:dyDescent="0.25">
      <c r="BL129">
        <v>564</v>
      </c>
    </row>
    <row r="130" spans="64:64" x14ac:dyDescent="0.25">
      <c r="BL130">
        <v>565</v>
      </c>
    </row>
    <row r="131" spans="64:64" x14ac:dyDescent="0.25">
      <c r="BL131">
        <v>566</v>
      </c>
    </row>
    <row r="132" spans="64:64" x14ac:dyDescent="0.25">
      <c r="BL132">
        <v>567</v>
      </c>
    </row>
    <row r="133" spans="64:64" x14ac:dyDescent="0.25">
      <c r="BL133">
        <v>568</v>
      </c>
    </row>
    <row r="134" spans="64:64" x14ac:dyDescent="0.25">
      <c r="BL134">
        <v>569</v>
      </c>
    </row>
    <row r="135" spans="64:64" x14ac:dyDescent="0.25">
      <c r="BL135">
        <v>570</v>
      </c>
    </row>
    <row r="136" spans="64:64" x14ac:dyDescent="0.25">
      <c r="BL136">
        <v>575</v>
      </c>
    </row>
    <row r="137" spans="64:64" x14ac:dyDescent="0.25">
      <c r="BL137">
        <v>576</v>
      </c>
    </row>
    <row r="138" spans="64:64" x14ac:dyDescent="0.25">
      <c r="BL138">
        <v>577</v>
      </c>
    </row>
    <row r="139" spans="64:64" x14ac:dyDescent="0.25">
      <c r="BL139">
        <v>583</v>
      </c>
    </row>
    <row r="140" spans="64:64" x14ac:dyDescent="0.25">
      <c r="BL140">
        <v>584</v>
      </c>
    </row>
    <row r="141" spans="64:64" x14ac:dyDescent="0.25">
      <c r="BL141">
        <v>585</v>
      </c>
    </row>
    <row r="142" spans="64:64" x14ac:dyDescent="0.25">
      <c r="BL142">
        <v>586</v>
      </c>
    </row>
    <row r="143" spans="64:64" x14ac:dyDescent="0.25">
      <c r="BL143">
        <v>588</v>
      </c>
    </row>
    <row r="144" spans="64:64" x14ac:dyDescent="0.25">
      <c r="BL144">
        <v>589</v>
      </c>
    </row>
    <row r="145" spans="64:64" x14ac:dyDescent="0.25">
      <c r="BL145">
        <v>590</v>
      </c>
    </row>
    <row r="146" spans="64:64" x14ac:dyDescent="0.25">
      <c r="BL146">
        <v>591</v>
      </c>
    </row>
    <row r="147" spans="64:64" x14ac:dyDescent="0.25">
      <c r="BL147">
        <v>592</v>
      </c>
    </row>
    <row r="148" spans="64:64" x14ac:dyDescent="0.25">
      <c r="BL148">
        <v>593</v>
      </c>
    </row>
    <row r="149" spans="64:64" x14ac:dyDescent="0.25">
      <c r="BL149">
        <v>594</v>
      </c>
    </row>
    <row r="150" spans="64:64" x14ac:dyDescent="0.25">
      <c r="BL150">
        <v>595</v>
      </c>
    </row>
    <row r="151" spans="64:64" x14ac:dyDescent="0.25">
      <c r="BL151">
        <v>599</v>
      </c>
    </row>
    <row r="152" spans="64:64" x14ac:dyDescent="0.25">
      <c r="BL152">
        <v>601</v>
      </c>
    </row>
    <row r="153" spans="64:64" x14ac:dyDescent="0.25">
      <c r="BL153">
        <v>602</v>
      </c>
    </row>
    <row r="154" spans="64:64" x14ac:dyDescent="0.25">
      <c r="BL154">
        <v>603</v>
      </c>
    </row>
    <row r="155" spans="64:64" x14ac:dyDescent="0.25">
      <c r="BL155">
        <v>614</v>
      </c>
    </row>
    <row r="156" spans="64:64" x14ac:dyDescent="0.25">
      <c r="BL156">
        <v>616</v>
      </c>
    </row>
    <row r="157" spans="64:64" x14ac:dyDescent="0.25">
      <c r="BL157">
        <v>617</v>
      </c>
    </row>
    <row r="158" spans="64:64" x14ac:dyDescent="0.25">
      <c r="BL158">
        <v>623</v>
      </c>
    </row>
    <row r="159" spans="64:64" x14ac:dyDescent="0.25">
      <c r="BL159">
        <v>624</v>
      </c>
    </row>
    <row r="160" spans="64:64" x14ac:dyDescent="0.25">
      <c r="BL160">
        <v>625</v>
      </c>
    </row>
    <row r="161" spans="64:64" x14ac:dyDescent="0.25">
      <c r="BL161">
        <v>627</v>
      </c>
    </row>
    <row r="162" spans="64:64" x14ac:dyDescent="0.25">
      <c r="BL162">
        <v>628</v>
      </c>
    </row>
    <row r="163" spans="64:64" x14ac:dyDescent="0.25">
      <c r="BL163">
        <v>629</v>
      </c>
    </row>
    <row r="164" spans="64:64" x14ac:dyDescent="0.25">
      <c r="BL164">
        <v>630</v>
      </c>
    </row>
    <row r="165" spans="64:64" x14ac:dyDescent="0.25">
      <c r="BL165">
        <v>639</v>
      </c>
    </row>
    <row r="166" spans="64:64" x14ac:dyDescent="0.25">
      <c r="BL166">
        <v>640</v>
      </c>
    </row>
    <row r="167" spans="64:64" x14ac:dyDescent="0.25">
      <c r="BL167">
        <v>641</v>
      </c>
    </row>
    <row r="168" spans="64:64" x14ac:dyDescent="0.25">
      <c r="BL168">
        <v>642</v>
      </c>
    </row>
    <row r="169" spans="64:64" x14ac:dyDescent="0.25">
      <c r="BL169">
        <v>643</v>
      </c>
    </row>
    <row r="170" spans="64:64" x14ac:dyDescent="0.25">
      <c r="BL170">
        <v>644</v>
      </c>
    </row>
    <row r="171" spans="64:64" x14ac:dyDescent="0.25">
      <c r="BL171">
        <v>645</v>
      </c>
    </row>
    <row r="172" spans="64:64" x14ac:dyDescent="0.25">
      <c r="BL172">
        <v>646</v>
      </c>
    </row>
    <row r="173" spans="64:64" x14ac:dyDescent="0.25">
      <c r="BL173" s="8">
        <v>648</v>
      </c>
    </row>
    <row r="174" spans="64:64" x14ac:dyDescent="0.25">
      <c r="BL174">
        <v>649</v>
      </c>
    </row>
    <row r="175" spans="64:64" x14ac:dyDescent="0.25">
      <c r="BL175">
        <v>650</v>
      </c>
    </row>
    <row r="176" spans="64:64" x14ac:dyDescent="0.25">
      <c r="BL176">
        <v>651</v>
      </c>
    </row>
    <row r="177" spans="64:64" x14ac:dyDescent="0.25">
      <c r="BL177">
        <v>652</v>
      </c>
    </row>
    <row r="178" spans="64:64" x14ac:dyDescent="0.25">
      <c r="BL178">
        <v>653</v>
      </c>
    </row>
    <row r="179" spans="64:64" x14ac:dyDescent="0.25">
      <c r="BL179">
        <v>654</v>
      </c>
    </row>
    <row r="180" spans="64:64" x14ac:dyDescent="0.25">
      <c r="BL180">
        <v>655</v>
      </c>
    </row>
    <row r="181" spans="64:64" x14ac:dyDescent="0.25">
      <c r="BL181">
        <v>656</v>
      </c>
    </row>
    <row r="182" spans="64:64" x14ac:dyDescent="0.25">
      <c r="BL182">
        <v>657</v>
      </c>
    </row>
    <row r="183" spans="64:64" x14ac:dyDescent="0.25">
      <c r="BL183">
        <v>658</v>
      </c>
    </row>
    <row r="184" spans="64:64" x14ac:dyDescent="0.25">
      <c r="BL184">
        <v>659</v>
      </c>
    </row>
    <row r="185" spans="64:64" x14ac:dyDescent="0.25">
      <c r="BL185">
        <v>660</v>
      </c>
    </row>
    <row r="186" spans="64:64" x14ac:dyDescent="0.25">
      <c r="BL186">
        <v>661</v>
      </c>
    </row>
    <row r="187" spans="64:64" x14ac:dyDescent="0.25">
      <c r="BL187">
        <v>662</v>
      </c>
    </row>
    <row r="188" spans="64:64" x14ac:dyDescent="0.25">
      <c r="BL188">
        <v>663</v>
      </c>
    </row>
    <row r="189" spans="64:64" x14ac:dyDescent="0.25">
      <c r="BL189">
        <v>666</v>
      </c>
    </row>
    <row r="190" spans="64:64" x14ac:dyDescent="0.25">
      <c r="BL190">
        <v>667</v>
      </c>
    </row>
    <row r="191" spans="64:64" x14ac:dyDescent="0.25">
      <c r="BL191">
        <v>669</v>
      </c>
    </row>
    <row r="192" spans="64:64" x14ac:dyDescent="0.25">
      <c r="BL192">
        <v>670</v>
      </c>
    </row>
    <row r="193" spans="64:64" x14ac:dyDescent="0.25">
      <c r="BL193">
        <v>671</v>
      </c>
    </row>
    <row r="194" spans="64:64" x14ac:dyDescent="0.25">
      <c r="BL194">
        <v>678</v>
      </c>
    </row>
    <row r="195" spans="64:64" x14ac:dyDescent="0.25">
      <c r="BL195">
        <v>679</v>
      </c>
    </row>
    <row r="196" spans="64:64" x14ac:dyDescent="0.25">
      <c r="BL196">
        <v>680</v>
      </c>
    </row>
    <row r="197" spans="64:64" x14ac:dyDescent="0.25">
      <c r="BL197">
        <v>681</v>
      </c>
    </row>
    <row r="198" spans="64:64" x14ac:dyDescent="0.25">
      <c r="BL198">
        <v>682</v>
      </c>
    </row>
    <row r="199" spans="64:64" x14ac:dyDescent="0.25">
      <c r="BL199">
        <v>683</v>
      </c>
    </row>
    <row r="200" spans="64:64" x14ac:dyDescent="0.25">
      <c r="BL200">
        <v>685</v>
      </c>
    </row>
    <row r="201" spans="64:64" x14ac:dyDescent="0.25">
      <c r="BL201">
        <v>686</v>
      </c>
    </row>
    <row r="202" spans="64:64" x14ac:dyDescent="0.25">
      <c r="BL202">
        <v>687</v>
      </c>
    </row>
    <row r="203" spans="64:64" x14ac:dyDescent="0.25">
      <c r="BL203">
        <v>688</v>
      </c>
    </row>
    <row r="204" spans="64:64" x14ac:dyDescent="0.25">
      <c r="BL204">
        <v>691</v>
      </c>
    </row>
    <row r="205" spans="64:64" x14ac:dyDescent="0.25">
      <c r="BL205">
        <v>693</v>
      </c>
    </row>
    <row r="206" spans="64:64" x14ac:dyDescent="0.25">
      <c r="BL206">
        <v>696</v>
      </c>
    </row>
    <row r="207" spans="64:64" x14ac:dyDescent="0.25">
      <c r="BL207">
        <v>697</v>
      </c>
    </row>
    <row r="208" spans="64:64" x14ac:dyDescent="0.25">
      <c r="BL208">
        <v>698</v>
      </c>
    </row>
    <row r="209" spans="64:64" x14ac:dyDescent="0.25">
      <c r="BL209">
        <v>699</v>
      </c>
    </row>
    <row r="210" spans="64:64" x14ac:dyDescent="0.25">
      <c r="BL210">
        <v>702</v>
      </c>
    </row>
    <row r="211" spans="64:64" x14ac:dyDescent="0.25">
      <c r="BL211">
        <v>704</v>
      </c>
    </row>
    <row r="212" spans="64:64" x14ac:dyDescent="0.25">
      <c r="BL212">
        <v>705</v>
      </c>
    </row>
    <row r="213" spans="64:64" x14ac:dyDescent="0.25">
      <c r="BL213">
        <v>706</v>
      </c>
    </row>
    <row r="214" spans="64:64" x14ac:dyDescent="0.25">
      <c r="BL214">
        <v>708</v>
      </c>
    </row>
    <row r="215" spans="64:64" x14ac:dyDescent="0.25">
      <c r="BL215">
        <v>709</v>
      </c>
    </row>
    <row r="216" spans="64:64" x14ac:dyDescent="0.25">
      <c r="BL216">
        <v>710</v>
      </c>
    </row>
    <row r="217" spans="64:64" x14ac:dyDescent="0.25">
      <c r="BL217">
        <v>711</v>
      </c>
    </row>
    <row r="218" spans="64:64" x14ac:dyDescent="0.25">
      <c r="BL218">
        <v>712</v>
      </c>
    </row>
    <row r="219" spans="64:64" x14ac:dyDescent="0.25">
      <c r="BL219">
        <v>713</v>
      </c>
    </row>
    <row r="220" spans="64:64" x14ac:dyDescent="0.25">
      <c r="BL220">
        <v>714</v>
      </c>
    </row>
    <row r="221" spans="64:64" x14ac:dyDescent="0.25">
      <c r="BL221">
        <v>715</v>
      </c>
    </row>
    <row r="222" spans="64:64" x14ac:dyDescent="0.25">
      <c r="BL222">
        <v>716</v>
      </c>
    </row>
    <row r="223" spans="64:64" x14ac:dyDescent="0.25">
      <c r="BL223">
        <v>717</v>
      </c>
    </row>
    <row r="224" spans="64:64" x14ac:dyDescent="0.25">
      <c r="BL224">
        <v>719</v>
      </c>
    </row>
    <row r="225" spans="64:64" x14ac:dyDescent="0.25">
      <c r="BL225">
        <v>720</v>
      </c>
    </row>
    <row r="226" spans="64:64" x14ac:dyDescent="0.25">
      <c r="BL226">
        <v>721</v>
      </c>
    </row>
    <row r="227" spans="64:64" x14ac:dyDescent="0.25">
      <c r="BL227">
        <v>722</v>
      </c>
    </row>
    <row r="228" spans="64:64" x14ac:dyDescent="0.25">
      <c r="BL228">
        <v>723</v>
      </c>
    </row>
    <row r="229" spans="64:64" x14ac:dyDescent="0.25">
      <c r="BL229">
        <v>724</v>
      </c>
    </row>
    <row r="230" spans="64:64" x14ac:dyDescent="0.25">
      <c r="BL230">
        <v>725</v>
      </c>
    </row>
    <row r="231" spans="64:64" x14ac:dyDescent="0.25">
      <c r="BL231">
        <v>726</v>
      </c>
    </row>
    <row r="232" spans="64:64" x14ac:dyDescent="0.25">
      <c r="BL232">
        <v>727</v>
      </c>
    </row>
    <row r="233" spans="64:64" x14ac:dyDescent="0.25">
      <c r="BL233">
        <v>728</v>
      </c>
    </row>
    <row r="234" spans="64:64" x14ac:dyDescent="0.25">
      <c r="BL234">
        <v>733</v>
      </c>
    </row>
    <row r="235" spans="64:64" x14ac:dyDescent="0.25">
      <c r="BL235">
        <v>734</v>
      </c>
    </row>
    <row r="236" spans="64:64" x14ac:dyDescent="0.25">
      <c r="BL236">
        <v>735</v>
      </c>
    </row>
    <row r="237" spans="64:64" x14ac:dyDescent="0.25">
      <c r="BL237">
        <v>736</v>
      </c>
    </row>
    <row r="238" spans="64:64" x14ac:dyDescent="0.25">
      <c r="BL238">
        <v>737</v>
      </c>
    </row>
    <row r="239" spans="64:64" x14ac:dyDescent="0.25">
      <c r="BL239">
        <v>738</v>
      </c>
    </row>
    <row r="240" spans="64:64" x14ac:dyDescent="0.25">
      <c r="BL240">
        <v>739</v>
      </c>
    </row>
    <row r="241" spans="64:64" x14ac:dyDescent="0.25">
      <c r="BL241">
        <v>740</v>
      </c>
    </row>
    <row r="242" spans="64:64" x14ac:dyDescent="0.25">
      <c r="BL242">
        <v>741</v>
      </c>
    </row>
    <row r="243" spans="64:64" x14ac:dyDescent="0.25">
      <c r="BL243">
        <v>742</v>
      </c>
    </row>
    <row r="244" spans="64:64" x14ac:dyDescent="0.25">
      <c r="BL244">
        <v>743</v>
      </c>
    </row>
    <row r="245" spans="64:64" x14ac:dyDescent="0.25">
      <c r="BL245">
        <v>744</v>
      </c>
    </row>
    <row r="246" spans="64:64" x14ac:dyDescent="0.25">
      <c r="BL246">
        <v>745</v>
      </c>
    </row>
    <row r="247" spans="64:64" x14ac:dyDescent="0.25">
      <c r="BL247">
        <v>746</v>
      </c>
    </row>
    <row r="248" spans="64:64" x14ac:dyDescent="0.25">
      <c r="BL248">
        <v>747</v>
      </c>
    </row>
    <row r="249" spans="64:64" x14ac:dyDescent="0.25">
      <c r="BL249">
        <v>748</v>
      </c>
    </row>
    <row r="250" spans="64:64" x14ac:dyDescent="0.25">
      <c r="BL250">
        <v>749</v>
      </c>
    </row>
    <row r="251" spans="64:64" x14ac:dyDescent="0.25">
      <c r="BL251">
        <v>750</v>
      </c>
    </row>
    <row r="252" spans="64:64" x14ac:dyDescent="0.25">
      <c r="BL252">
        <v>751</v>
      </c>
    </row>
    <row r="253" spans="64:64" x14ac:dyDescent="0.25">
      <c r="BL253">
        <v>752</v>
      </c>
    </row>
    <row r="254" spans="64:64" x14ac:dyDescent="0.25">
      <c r="BL254">
        <v>753</v>
      </c>
    </row>
    <row r="255" spans="64:64" x14ac:dyDescent="0.25">
      <c r="BL255">
        <v>754</v>
      </c>
    </row>
    <row r="256" spans="64:64" x14ac:dyDescent="0.25">
      <c r="BL256">
        <v>755</v>
      </c>
    </row>
    <row r="257" spans="64:64" x14ac:dyDescent="0.25">
      <c r="BL257">
        <v>756</v>
      </c>
    </row>
    <row r="258" spans="64:64" x14ac:dyDescent="0.25">
      <c r="BL258">
        <v>757</v>
      </c>
    </row>
    <row r="259" spans="64:64" x14ac:dyDescent="0.25">
      <c r="BL259">
        <v>758</v>
      </c>
    </row>
    <row r="260" spans="64:64" x14ac:dyDescent="0.25">
      <c r="BL260">
        <v>759</v>
      </c>
    </row>
    <row r="261" spans="64:64" x14ac:dyDescent="0.25">
      <c r="BL261">
        <v>760</v>
      </c>
    </row>
    <row r="262" spans="64:64" x14ac:dyDescent="0.25">
      <c r="BL262">
        <v>761</v>
      </c>
    </row>
    <row r="263" spans="64:64" x14ac:dyDescent="0.25">
      <c r="BL263">
        <v>762</v>
      </c>
    </row>
    <row r="264" spans="64:64" x14ac:dyDescent="0.25">
      <c r="BL264">
        <v>763</v>
      </c>
    </row>
    <row r="265" spans="64:64" x14ac:dyDescent="0.25">
      <c r="BL265">
        <v>764</v>
      </c>
    </row>
    <row r="266" spans="64:64" x14ac:dyDescent="0.25">
      <c r="BL266">
        <v>765</v>
      </c>
    </row>
    <row r="267" spans="64:64" x14ac:dyDescent="0.25">
      <c r="BL267">
        <v>766</v>
      </c>
    </row>
    <row r="268" spans="64:64" x14ac:dyDescent="0.25">
      <c r="BL268">
        <v>768</v>
      </c>
    </row>
    <row r="269" spans="64:64" x14ac:dyDescent="0.25">
      <c r="BL269">
        <v>769</v>
      </c>
    </row>
    <row r="270" spans="64:64" x14ac:dyDescent="0.25">
      <c r="BL270">
        <v>770</v>
      </c>
    </row>
    <row r="271" spans="64:64" x14ac:dyDescent="0.25">
      <c r="BL271">
        <v>771</v>
      </c>
    </row>
    <row r="272" spans="64:64" x14ac:dyDescent="0.25">
      <c r="BL272">
        <v>772</v>
      </c>
    </row>
    <row r="273" spans="64:64" x14ac:dyDescent="0.25">
      <c r="BL273">
        <v>773</v>
      </c>
    </row>
    <row r="274" spans="64:64" x14ac:dyDescent="0.25">
      <c r="BL274">
        <v>774</v>
      </c>
    </row>
    <row r="275" spans="64:64" x14ac:dyDescent="0.25">
      <c r="BL275">
        <v>775</v>
      </c>
    </row>
    <row r="276" spans="64:64" x14ac:dyDescent="0.25">
      <c r="BL276">
        <v>776</v>
      </c>
    </row>
    <row r="277" spans="64:64" x14ac:dyDescent="0.25">
      <c r="BL277">
        <v>778</v>
      </c>
    </row>
    <row r="278" spans="64:64" x14ac:dyDescent="0.25">
      <c r="BL278">
        <v>784</v>
      </c>
    </row>
    <row r="279" spans="64:64" x14ac:dyDescent="0.25">
      <c r="BL279">
        <v>785</v>
      </c>
    </row>
    <row r="280" spans="64:64" x14ac:dyDescent="0.25">
      <c r="BL280">
        <v>786</v>
      </c>
    </row>
    <row r="281" spans="64:64" x14ac:dyDescent="0.25">
      <c r="BL281">
        <v>787</v>
      </c>
    </row>
    <row r="282" spans="64:64" x14ac:dyDescent="0.25">
      <c r="BL282">
        <v>788</v>
      </c>
    </row>
    <row r="283" spans="64:64" x14ac:dyDescent="0.25">
      <c r="BL283">
        <v>789</v>
      </c>
    </row>
    <row r="284" spans="64:64" x14ac:dyDescent="0.25">
      <c r="BL284">
        <v>790</v>
      </c>
    </row>
    <row r="285" spans="64:64" x14ac:dyDescent="0.25">
      <c r="BL285">
        <v>791</v>
      </c>
    </row>
    <row r="286" spans="64:64" x14ac:dyDescent="0.25">
      <c r="BL286">
        <v>792</v>
      </c>
    </row>
    <row r="287" spans="64:64" x14ac:dyDescent="0.25">
      <c r="BL287">
        <v>793</v>
      </c>
    </row>
    <row r="288" spans="64:64" x14ac:dyDescent="0.25">
      <c r="BL288">
        <v>794</v>
      </c>
    </row>
    <row r="289" spans="64:64" x14ac:dyDescent="0.25">
      <c r="BL289">
        <v>795</v>
      </c>
    </row>
    <row r="290" spans="64:64" x14ac:dyDescent="0.25">
      <c r="BL290">
        <v>796</v>
      </c>
    </row>
    <row r="291" spans="64:64" x14ac:dyDescent="0.25">
      <c r="BL291">
        <v>797</v>
      </c>
    </row>
    <row r="292" spans="64:64" x14ac:dyDescent="0.25">
      <c r="BL292">
        <v>798</v>
      </c>
    </row>
    <row r="293" spans="64:64" x14ac:dyDescent="0.25">
      <c r="BL293">
        <v>799</v>
      </c>
    </row>
    <row r="294" spans="64:64" x14ac:dyDescent="0.25">
      <c r="BL294">
        <v>800</v>
      </c>
    </row>
    <row r="295" spans="64:64" x14ac:dyDescent="0.25">
      <c r="BL295">
        <v>802</v>
      </c>
    </row>
    <row r="296" spans="64:64" x14ac:dyDescent="0.25">
      <c r="BL296">
        <v>803</v>
      </c>
    </row>
    <row r="297" spans="64:64" x14ac:dyDescent="0.25">
      <c r="BL297">
        <v>804</v>
      </c>
    </row>
    <row r="298" spans="64:64" x14ac:dyDescent="0.25">
      <c r="BL298">
        <v>805</v>
      </c>
    </row>
    <row r="299" spans="64:64" x14ac:dyDescent="0.25">
      <c r="BL299">
        <v>806</v>
      </c>
    </row>
    <row r="300" spans="64:64" x14ac:dyDescent="0.25">
      <c r="BL300">
        <v>807</v>
      </c>
    </row>
    <row r="301" spans="64:64" x14ac:dyDescent="0.25">
      <c r="BL301">
        <v>808</v>
      </c>
    </row>
    <row r="302" spans="64:64" x14ac:dyDescent="0.25">
      <c r="BL302">
        <v>809</v>
      </c>
    </row>
    <row r="303" spans="64:64" x14ac:dyDescent="0.25">
      <c r="BL303">
        <v>810</v>
      </c>
    </row>
    <row r="304" spans="64:64" x14ac:dyDescent="0.25">
      <c r="BL304">
        <v>811</v>
      </c>
    </row>
    <row r="305" spans="64:64" x14ac:dyDescent="0.25">
      <c r="BL305">
        <v>812</v>
      </c>
    </row>
    <row r="306" spans="64:64" x14ac:dyDescent="0.25">
      <c r="BL306">
        <v>813</v>
      </c>
    </row>
    <row r="307" spans="64:64" x14ac:dyDescent="0.25">
      <c r="BL307">
        <v>814</v>
      </c>
    </row>
    <row r="308" spans="64:64" x14ac:dyDescent="0.25">
      <c r="BL308">
        <v>815</v>
      </c>
    </row>
    <row r="309" spans="64:64" x14ac:dyDescent="0.25">
      <c r="BL309">
        <v>816</v>
      </c>
    </row>
    <row r="310" spans="64:64" x14ac:dyDescent="0.25">
      <c r="BL310">
        <v>817</v>
      </c>
    </row>
    <row r="311" spans="64:64" x14ac:dyDescent="0.25">
      <c r="BL311">
        <v>818</v>
      </c>
    </row>
    <row r="312" spans="64:64" x14ac:dyDescent="0.25">
      <c r="BL312">
        <v>819</v>
      </c>
    </row>
    <row r="313" spans="64:64" x14ac:dyDescent="0.25">
      <c r="BL313">
        <v>820</v>
      </c>
    </row>
    <row r="314" spans="64:64" x14ac:dyDescent="0.25">
      <c r="BL314">
        <v>821</v>
      </c>
    </row>
    <row r="315" spans="64:64" x14ac:dyDescent="0.25">
      <c r="BL315">
        <v>822</v>
      </c>
    </row>
    <row r="316" spans="64:64" x14ac:dyDescent="0.25">
      <c r="BL316">
        <v>823</v>
      </c>
    </row>
    <row r="317" spans="64:64" x14ac:dyDescent="0.25">
      <c r="BL317">
        <v>824</v>
      </c>
    </row>
    <row r="318" spans="64:64" x14ac:dyDescent="0.25">
      <c r="BL318">
        <v>825</v>
      </c>
    </row>
    <row r="319" spans="64:64" x14ac:dyDescent="0.25">
      <c r="BL319">
        <v>826</v>
      </c>
    </row>
    <row r="320" spans="64:64" x14ac:dyDescent="0.25">
      <c r="BL320">
        <v>827</v>
      </c>
    </row>
    <row r="321" spans="64:64" x14ac:dyDescent="0.25">
      <c r="BL321">
        <v>828</v>
      </c>
    </row>
    <row r="322" spans="64:64" x14ac:dyDescent="0.25">
      <c r="BL322">
        <v>829</v>
      </c>
    </row>
    <row r="323" spans="64:64" x14ac:dyDescent="0.25">
      <c r="BL323">
        <v>830</v>
      </c>
    </row>
    <row r="324" spans="64:64" x14ac:dyDescent="0.25">
      <c r="BL324">
        <v>831</v>
      </c>
    </row>
    <row r="325" spans="64:64" x14ac:dyDescent="0.25">
      <c r="BL325">
        <v>832</v>
      </c>
    </row>
    <row r="326" spans="64:64" x14ac:dyDescent="0.25">
      <c r="BL326">
        <v>833</v>
      </c>
    </row>
    <row r="327" spans="64:64" x14ac:dyDescent="0.25">
      <c r="BL327">
        <v>834</v>
      </c>
    </row>
    <row r="328" spans="64:64" x14ac:dyDescent="0.25">
      <c r="BL328">
        <v>835</v>
      </c>
    </row>
    <row r="329" spans="64:64" x14ac:dyDescent="0.25">
      <c r="BL329">
        <v>836</v>
      </c>
    </row>
    <row r="330" spans="64:64" x14ac:dyDescent="0.25">
      <c r="BL330">
        <v>842</v>
      </c>
    </row>
    <row r="331" spans="64:64" x14ac:dyDescent="0.25">
      <c r="BL331">
        <v>843</v>
      </c>
    </row>
    <row r="332" spans="64:64" x14ac:dyDescent="0.25">
      <c r="BL332">
        <v>844</v>
      </c>
    </row>
    <row r="333" spans="64:64" x14ac:dyDescent="0.25">
      <c r="BL333">
        <v>845</v>
      </c>
    </row>
    <row r="334" spans="64:64" x14ac:dyDescent="0.25">
      <c r="BL334">
        <v>846</v>
      </c>
    </row>
    <row r="335" spans="64:64" x14ac:dyDescent="0.25">
      <c r="BL335">
        <v>847</v>
      </c>
    </row>
    <row r="336" spans="64:64" x14ac:dyDescent="0.25">
      <c r="BL336">
        <v>848</v>
      </c>
    </row>
    <row r="337" spans="64:64" x14ac:dyDescent="0.25">
      <c r="BL337">
        <v>849</v>
      </c>
    </row>
    <row r="338" spans="64:64" x14ac:dyDescent="0.25">
      <c r="BL338">
        <v>850</v>
      </c>
    </row>
    <row r="339" spans="64:64" x14ac:dyDescent="0.25">
      <c r="BL339">
        <v>851</v>
      </c>
    </row>
    <row r="340" spans="64:64" x14ac:dyDescent="0.25">
      <c r="BL340">
        <v>852</v>
      </c>
    </row>
    <row r="341" spans="64:64" x14ac:dyDescent="0.25">
      <c r="BL341">
        <v>853</v>
      </c>
    </row>
    <row r="342" spans="64:64" x14ac:dyDescent="0.25">
      <c r="BL342">
        <v>854</v>
      </c>
    </row>
    <row r="343" spans="64:64" x14ac:dyDescent="0.25">
      <c r="BL343">
        <v>855</v>
      </c>
    </row>
    <row r="344" spans="64:64" x14ac:dyDescent="0.25">
      <c r="BL344">
        <v>856</v>
      </c>
    </row>
    <row r="345" spans="64:64" x14ac:dyDescent="0.25">
      <c r="BL345">
        <v>857</v>
      </c>
    </row>
    <row r="346" spans="64:64" x14ac:dyDescent="0.25">
      <c r="BL346">
        <v>858</v>
      </c>
    </row>
    <row r="347" spans="64:64" x14ac:dyDescent="0.25">
      <c r="BL347">
        <v>860</v>
      </c>
    </row>
    <row r="348" spans="64:64" x14ac:dyDescent="0.25">
      <c r="BL348">
        <v>861</v>
      </c>
    </row>
    <row r="349" spans="64:64" x14ac:dyDescent="0.25">
      <c r="BL349">
        <v>862</v>
      </c>
    </row>
    <row r="350" spans="64:64" x14ac:dyDescent="0.25">
      <c r="BL350">
        <v>863</v>
      </c>
    </row>
    <row r="351" spans="64:64" x14ac:dyDescent="0.25">
      <c r="BL351">
        <v>864</v>
      </c>
    </row>
    <row r="352" spans="64:64" x14ac:dyDescent="0.25">
      <c r="BL352">
        <v>865</v>
      </c>
    </row>
    <row r="353" spans="64:64" x14ac:dyDescent="0.25">
      <c r="BL353">
        <v>866</v>
      </c>
    </row>
    <row r="354" spans="64:64" x14ac:dyDescent="0.25">
      <c r="BL354">
        <v>867</v>
      </c>
    </row>
    <row r="355" spans="64:64" x14ac:dyDescent="0.25">
      <c r="BL355">
        <v>868</v>
      </c>
    </row>
    <row r="356" spans="64:64" x14ac:dyDescent="0.25">
      <c r="BL356">
        <v>869</v>
      </c>
    </row>
    <row r="357" spans="64:64" x14ac:dyDescent="0.25">
      <c r="BL357">
        <v>870</v>
      </c>
    </row>
    <row r="358" spans="64:64" x14ac:dyDescent="0.25">
      <c r="BL358">
        <v>871</v>
      </c>
    </row>
    <row r="359" spans="64:64" x14ac:dyDescent="0.25">
      <c r="BL359">
        <v>872</v>
      </c>
    </row>
    <row r="360" spans="64:64" x14ac:dyDescent="0.25">
      <c r="BL360">
        <v>873</v>
      </c>
    </row>
    <row r="361" spans="64:64" x14ac:dyDescent="0.25">
      <c r="BL361">
        <v>874</v>
      </c>
    </row>
    <row r="362" spans="64:64" x14ac:dyDescent="0.25">
      <c r="BL362">
        <v>875</v>
      </c>
    </row>
    <row r="363" spans="64:64" x14ac:dyDescent="0.25">
      <c r="BL363">
        <v>876</v>
      </c>
    </row>
    <row r="364" spans="64:64" x14ac:dyDescent="0.25">
      <c r="BL364">
        <v>877</v>
      </c>
    </row>
    <row r="365" spans="64:64" x14ac:dyDescent="0.25">
      <c r="BL365">
        <v>878</v>
      </c>
    </row>
    <row r="366" spans="64:64" x14ac:dyDescent="0.25">
      <c r="BL366">
        <v>879</v>
      </c>
    </row>
    <row r="367" spans="64:64" x14ac:dyDescent="0.25">
      <c r="BL367">
        <v>880</v>
      </c>
    </row>
    <row r="368" spans="64:64" x14ac:dyDescent="0.25">
      <c r="BL368">
        <v>881</v>
      </c>
    </row>
    <row r="369" spans="64:64" x14ac:dyDescent="0.25">
      <c r="BL369">
        <v>882</v>
      </c>
    </row>
    <row r="370" spans="64:64" x14ac:dyDescent="0.25">
      <c r="BL370">
        <v>883</v>
      </c>
    </row>
    <row r="371" spans="64:64" x14ac:dyDescent="0.25">
      <c r="BL371">
        <v>884</v>
      </c>
    </row>
    <row r="372" spans="64:64" x14ac:dyDescent="0.25">
      <c r="BL372">
        <v>885</v>
      </c>
    </row>
    <row r="373" spans="64:64" x14ac:dyDescent="0.25">
      <c r="BL373">
        <v>886</v>
      </c>
    </row>
    <row r="374" spans="64:64" x14ac:dyDescent="0.25">
      <c r="BL374">
        <v>887</v>
      </c>
    </row>
    <row r="375" spans="64:64" x14ac:dyDescent="0.25">
      <c r="BL375">
        <v>888</v>
      </c>
    </row>
    <row r="376" spans="64:64" x14ac:dyDescent="0.25">
      <c r="BL376">
        <v>889</v>
      </c>
    </row>
    <row r="377" spans="64:64" x14ac:dyDescent="0.25">
      <c r="BL377">
        <v>890</v>
      </c>
    </row>
    <row r="378" spans="64:64" x14ac:dyDescent="0.25">
      <c r="BL378">
        <v>891</v>
      </c>
    </row>
    <row r="379" spans="64:64" x14ac:dyDescent="0.25">
      <c r="BL379">
        <v>892</v>
      </c>
    </row>
    <row r="380" spans="64:64" x14ac:dyDescent="0.25">
      <c r="BL380">
        <v>894</v>
      </c>
    </row>
    <row r="381" spans="64:64" x14ac:dyDescent="0.25">
      <c r="BL381">
        <v>895</v>
      </c>
    </row>
    <row r="382" spans="64:64" x14ac:dyDescent="0.25">
      <c r="BL382">
        <v>896</v>
      </c>
    </row>
    <row r="383" spans="64:64" x14ac:dyDescent="0.25">
      <c r="BL383">
        <v>897</v>
      </c>
    </row>
    <row r="384" spans="64:64" x14ac:dyDescent="0.25">
      <c r="BL384">
        <v>898</v>
      </c>
    </row>
    <row r="385" spans="64:64" x14ac:dyDescent="0.25">
      <c r="BL385">
        <v>899</v>
      </c>
    </row>
    <row r="386" spans="64:64" x14ac:dyDescent="0.25">
      <c r="BL386">
        <v>901</v>
      </c>
    </row>
    <row r="387" spans="64:64" x14ac:dyDescent="0.25">
      <c r="BL387">
        <v>902</v>
      </c>
    </row>
    <row r="388" spans="64:64" x14ac:dyDescent="0.25">
      <c r="BL388">
        <v>903</v>
      </c>
    </row>
    <row r="389" spans="64:64" x14ac:dyDescent="0.25">
      <c r="BL389">
        <v>904</v>
      </c>
    </row>
    <row r="390" spans="64:64" x14ac:dyDescent="0.25">
      <c r="BL390">
        <v>905</v>
      </c>
    </row>
    <row r="391" spans="64:64" x14ac:dyDescent="0.25">
      <c r="BL391">
        <v>906</v>
      </c>
    </row>
    <row r="392" spans="64:64" x14ac:dyDescent="0.25">
      <c r="BL392">
        <v>907</v>
      </c>
    </row>
    <row r="393" spans="64:64" x14ac:dyDescent="0.25">
      <c r="BL393">
        <v>908</v>
      </c>
    </row>
    <row r="394" spans="64:64" x14ac:dyDescent="0.25">
      <c r="BL394">
        <v>909</v>
      </c>
    </row>
    <row r="395" spans="64:64" x14ac:dyDescent="0.25">
      <c r="BL395">
        <v>910</v>
      </c>
    </row>
    <row r="396" spans="64:64" x14ac:dyDescent="0.25">
      <c r="BL396">
        <v>911</v>
      </c>
    </row>
    <row r="397" spans="64:64" x14ac:dyDescent="0.25">
      <c r="BL397">
        <v>912</v>
      </c>
    </row>
    <row r="398" spans="64:64" x14ac:dyDescent="0.25">
      <c r="BL398">
        <v>913</v>
      </c>
    </row>
    <row r="399" spans="64:64" x14ac:dyDescent="0.25">
      <c r="BL399">
        <v>914</v>
      </c>
    </row>
    <row r="400" spans="64:64" x14ac:dyDescent="0.25">
      <c r="BL400">
        <v>916</v>
      </c>
    </row>
    <row r="401" spans="64:64" x14ac:dyDescent="0.25">
      <c r="BL401">
        <v>917</v>
      </c>
    </row>
    <row r="402" spans="64:64" x14ac:dyDescent="0.25">
      <c r="BL402">
        <v>919</v>
      </c>
    </row>
    <row r="403" spans="64:64" x14ac:dyDescent="0.25">
      <c r="BL403">
        <v>920</v>
      </c>
    </row>
    <row r="404" spans="64:64" x14ac:dyDescent="0.25">
      <c r="BL404">
        <v>921</v>
      </c>
    </row>
    <row r="405" spans="64:64" x14ac:dyDescent="0.25">
      <c r="BL405">
        <v>922</v>
      </c>
    </row>
    <row r="406" spans="64:64" x14ac:dyDescent="0.25">
      <c r="BL406">
        <v>923</v>
      </c>
    </row>
    <row r="407" spans="64:64" x14ac:dyDescent="0.25">
      <c r="BL407">
        <v>924</v>
      </c>
    </row>
    <row r="408" spans="64:64" x14ac:dyDescent="0.25">
      <c r="BL408">
        <v>925</v>
      </c>
    </row>
    <row r="409" spans="64:64" x14ac:dyDescent="0.25">
      <c r="BL409">
        <v>926</v>
      </c>
    </row>
    <row r="410" spans="64:64" x14ac:dyDescent="0.25">
      <c r="BL410">
        <v>927</v>
      </c>
    </row>
    <row r="411" spans="64:64" x14ac:dyDescent="0.25">
      <c r="BL411">
        <v>928</v>
      </c>
    </row>
    <row r="412" spans="64:64" x14ac:dyDescent="0.25">
      <c r="BL412">
        <v>929</v>
      </c>
    </row>
    <row r="413" spans="64:64" x14ac:dyDescent="0.25">
      <c r="BL413">
        <v>930</v>
      </c>
    </row>
    <row r="414" spans="64:64" x14ac:dyDescent="0.25">
      <c r="BL414">
        <v>931</v>
      </c>
    </row>
    <row r="415" spans="64:64" x14ac:dyDescent="0.25">
      <c r="BL415">
        <v>932</v>
      </c>
    </row>
    <row r="416" spans="64:64" x14ac:dyDescent="0.25">
      <c r="BL416">
        <v>933</v>
      </c>
    </row>
    <row r="417" spans="64:64" x14ac:dyDescent="0.25">
      <c r="BL417">
        <v>934</v>
      </c>
    </row>
    <row r="418" spans="64:64" x14ac:dyDescent="0.25">
      <c r="BL418">
        <v>936</v>
      </c>
    </row>
    <row r="419" spans="64:64" x14ac:dyDescent="0.25">
      <c r="BL419">
        <v>937</v>
      </c>
    </row>
    <row r="420" spans="64:64" x14ac:dyDescent="0.25">
      <c r="BL420">
        <v>938</v>
      </c>
    </row>
    <row r="421" spans="64:64" x14ac:dyDescent="0.25">
      <c r="BL421">
        <v>939</v>
      </c>
    </row>
    <row r="422" spans="64:64" x14ac:dyDescent="0.25">
      <c r="BL422">
        <v>940</v>
      </c>
    </row>
    <row r="423" spans="64:64" x14ac:dyDescent="0.25">
      <c r="BL423">
        <v>941</v>
      </c>
    </row>
    <row r="424" spans="64:64" x14ac:dyDescent="0.25">
      <c r="BL424">
        <v>942</v>
      </c>
    </row>
    <row r="425" spans="64:64" x14ac:dyDescent="0.25">
      <c r="BL425">
        <v>943</v>
      </c>
    </row>
    <row r="426" spans="64:64" x14ac:dyDescent="0.25">
      <c r="BL426">
        <v>944</v>
      </c>
    </row>
    <row r="427" spans="64:64" x14ac:dyDescent="0.25">
      <c r="BL427">
        <v>945</v>
      </c>
    </row>
    <row r="428" spans="64:64" x14ac:dyDescent="0.25">
      <c r="BL428">
        <v>946</v>
      </c>
    </row>
    <row r="429" spans="64:64" x14ac:dyDescent="0.25">
      <c r="BL429">
        <v>947</v>
      </c>
    </row>
    <row r="430" spans="64:64" x14ac:dyDescent="0.25">
      <c r="BL430">
        <v>948</v>
      </c>
    </row>
    <row r="431" spans="64:64" x14ac:dyDescent="0.25">
      <c r="BL431">
        <v>949</v>
      </c>
    </row>
    <row r="432" spans="64:64" x14ac:dyDescent="0.25">
      <c r="BL432">
        <v>950</v>
      </c>
    </row>
    <row r="433" spans="64:64" x14ac:dyDescent="0.25">
      <c r="BL433">
        <v>951</v>
      </c>
    </row>
    <row r="434" spans="64:64" x14ac:dyDescent="0.25">
      <c r="BL434">
        <v>952</v>
      </c>
    </row>
    <row r="435" spans="64:64" x14ac:dyDescent="0.25">
      <c r="BL435">
        <v>953</v>
      </c>
    </row>
    <row r="436" spans="64:64" x14ac:dyDescent="0.25">
      <c r="BL436">
        <v>954</v>
      </c>
    </row>
    <row r="437" spans="64:64" x14ac:dyDescent="0.25">
      <c r="BL437">
        <v>955</v>
      </c>
    </row>
    <row r="438" spans="64:64" x14ac:dyDescent="0.25">
      <c r="BL438">
        <v>956</v>
      </c>
    </row>
    <row r="439" spans="64:64" x14ac:dyDescent="0.25">
      <c r="BL439">
        <v>957</v>
      </c>
    </row>
    <row r="440" spans="64:64" x14ac:dyDescent="0.25">
      <c r="BL440">
        <v>958</v>
      </c>
    </row>
    <row r="441" spans="64:64" x14ac:dyDescent="0.25">
      <c r="BL441">
        <v>959</v>
      </c>
    </row>
    <row r="442" spans="64:64" x14ac:dyDescent="0.25">
      <c r="BL442">
        <v>960</v>
      </c>
    </row>
    <row r="443" spans="64:64" x14ac:dyDescent="0.25">
      <c r="BL443">
        <v>961</v>
      </c>
    </row>
    <row r="444" spans="64:64" x14ac:dyDescent="0.25">
      <c r="BL444">
        <v>962</v>
      </c>
    </row>
    <row r="445" spans="64:64" x14ac:dyDescent="0.25">
      <c r="BL445">
        <v>963</v>
      </c>
    </row>
    <row r="446" spans="64:64" x14ac:dyDescent="0.25">
      <c r="BL446">
        <v>964</v>
      </c>
    </row>
    <row r="447" spans="64:64" x14ac:dyDescent="0.25">
      <c r="BL447">
        <v>965</v>
      </c>
    </row>
    <row r="448" spans="64:64" x14ac:dyDescent="0.25">
      <c r="BL448">
        <v>966</v>
      </c>
    </row>
    <row r="449" spans="64:64" x14ac:dyDescent="0.25">
      <c r="BL449">
        <v>967</v>
      </c>
    </row>
    <row r="450" spans="64:64" x14ac:dyDescent="0.25">
      <c r="BL450">
        <v>968</v>
      </c>
    </row>
    <row r="451" spans="64:64" x14ac:dyDescent="0.25">
      <c r="BL451">
        <v>969</v>
      </c>
    </row>
    <row r="452" spans="64:64" x14ac:dyDescent="0.25">
      <c r="BL452">
        <v>970</v>
      </c>
    </row>
    <row r="453" spans="64:64" x14ac:dyDescent="0.25">
      <c r="BL453">
        <v>971</v>
      </c>
    </row>
    <row r="454" spans="64:64" x14ac:dyDescent="0.25">
      <c r="BL454">
        <v>972</v>
      </c>
    </row>
    <row r="455" spans="64:64" x14ac:dyDescent="0.25">
      <c r="BL455">
        <v>973</v>
      </c>
    </row>
    <row r="456" spans="64:64" x14ac:dyDescent="0.25">
      <c r="BL456">
        <v>974</v>
      </c>
    </row>
    <row r="457" spans="64:64" x14ac:dyDescent="0.25">
      <c r="BL457">
        <v>975</v>
      </c>
    </row>
    <row r="458" spans="64:64" x14ac:dyDescent="0.25">
      <c r="BL458">
        <v>976</v>
      </c>
    </row>
    <row r="459" spans="64:64" x14ac:dyDescent="0.25">
      <c r="BL459">
        <v>977</v>
      </c>
    </row>
    <row r="460" spans="64:64" x14ac:dyDescent="0.25">
      <c r="BL460">
        <v>978</v>
      </c>
    </row>
    <row r="461" spans="64:64" x14ac:dyDescent="0.25">
      <c r="BL461">
        <v>979</v>
      </c>
    </row>
    <row r="462" spans="64:64" x14ac:dyDescent="0.25">
      <c r="BL462">
        <v>980</v>
      </c>
    </row>
    <row r="463" spans="64:64" x14ac:dyDescent="0.25">
      <c r="BL463">
        <v>981</v>
      </c>
    </row>
    <row r="464" spans="64:64" x14ac:dyDescent="0.25">
      <c r="BL464">
        <v>982</v>
      </c>
    </row>
    <row r="465" spans="64:64" x14ac:dyDescent="0.25">
      <c r="BL465">
        <v>983</v>
      </c>
    </row>
    <row r="466" spans="64:64" x14ac:dyDescent="0.25">
      <c r="BL466">
        <v>984</v>
      </c>
    </row>
    <row r="467" spans="64:64" x14ac:dyDescent="0.25">
      <c r="BL467">
        <v>985</v>
      </c>
    </row>
    <row r="468" spans="64:64" x14ac:dyDescent="0.25">
      <c r="BL468">
        <v>986</v>
      </c>
    </row>
    <row r="469" spans="64:64" x14ac:dyDescent="0.25">
      <c r="BL469">
        <v>987</v>
      </c>
    </row>
    <row r="470" spans="64:64" x14ac:dyDescent="0.25">
      <c r="BL470">
        <v>988</v>
      </c>
    </row>
    <row r="471" spans="64:64" x14ac:dyDescent="0.25">
      <c r="BL471">
        <v>989</v>
      </c>
    </row>
    <row r="472" spans="64:64" x14ac:dyDescent="0.25">
      <c r="BL472">
        <v>991</v>
      </c>
    </row>
    <row r="473" spans="64:64" x14ac:dyDescent="0.25">
      <c r="BL473">
        <v>992</v>
      </c>
    </row>
    <row r="474" spans="64:64" x14ac:dyDescent="0.25">
      <c r="BL474">
        <v>993</v>
      </c>
    </row>
    <row r="475" spans="64:64" x14ac:dyDescent="0.25">
      <c r="BL475">
        <v>994</v>
      </c>
    </row>
    <row r="476" spans="64:64" x14ac:dyDescent="0.25">
      <c r="BL476">
        <v>995</v>
      </c>
    </row>
    <row r="477" spans="64:64" x14ac:dyDescent="0.25">
      <c r="BL477">
        <v>996</v>
      </c>
    </row>
    <row r="478" spans="64:64" x14ac:dyDescent="0.25">
      <c r="BL478">
        <v>997</v>
      </c>
    </row>
    <row r="479" spans="64:64" x14ac:dyDescent="0.25">
      <c r="BL479">
        <v>998</v>
      </c>
    </row>
    <row r="480" spans="64:64" x14ac:dyDescent="0.25">
      <c r="BL480">
        <v>999</v>
      </c>
    </row>
    <row r="481" spans="64:64" x14ac:dyDescent="0.25">
      <c r="BL481">
        <v>1000</v>
      </c>
    </row>
    <row r="482" spans="64:64" x14ac:dyDescent="0.25">
      <c r="BL482">
        <v>1002</v>
      </c>
    </row>
    <row r="483" spans="64:64" x14ac:dyDescent="0.25">
      <c r="BL483">
        <v>1003</v>
      </c>
    </row>
    <row r="484" spans="64:64" x14ac:dyDescent="0.25">
      <c r="BL484">
        <v>1005</v>
      </c>
    </row>
    <row r="485" spans="64:64" x14ac:dyDescent="0.25">
      <c r="BL485">
        <v>1006</v>
      </c>
    </row>
    <row r="486" spans="64:64" x14ac:dyDescent="0.25">
      <c r="BL486">
        <v>1008</v>
      </c>
    </row>
    <row r="487" spans="64:64" x14ac:dyDescent="0.25">
      <c r="BL487">
        <v>1009</v>
      </c>
    </row>
    <row r="488" spans="64:64" x14ac:dyDescent="0.25">
      <c r="BL488">
        <v>1010</v>
      </c>
    </row>
    <row r="489" spans="64:64" x14ac:dyDescent="0.25">
      <c r="BL489">
        <v>1011</v>
      </c>
    </row>
    <row r="490" spans="64:64" x14ac:dyDescent="0.25">
      <c r="BL490">
        <v>1012</v>
      </c>
    </row>
    <row r="491" spans="64:64" x14ac:dyDescent="0.25">
      <c r="BL491">
        <v>1015</v>
      </c>
    </row>
    <row r="492" spans="64:64" x14ac:dyDescent="0.25">
      <c r="BL492">
        <v>1016</v>
      </c>
    </row>
    <row r="493" spans="64:64" x14ac:dyDescent="0.25">
      <c r="BL493">
        <v>1017</v>
      </c>
    </row>
    <row r="494" spans="64:64" x14ac:dyDescent="0.25">
      <c r="BL494">
        <v>1018</v>
      </c>
    </row>
    <row r="495" spans="64:64" x14ac:dyDescent="0.25">
      <c r="BL495">
        <v>1019</v>
      </c>
    </row>
    <row r="496" spans="64:64" x14ac:dyDescent="0.25">
      <c r="BL496">
        <v>1020</v>
      </c>
    </row>
    <row r="497" spans="64:64" x14ac:dyDescent="0.25">
      <c r="BL497">
        <v>1021</v>
      </c>
    </row>
    <row r="498" spans="64:64" x14ac:dyDescent="0.25">
      <c r="BL498">
        <v>1022</v>
      </c>
    </row>
    <row r="499" spans="64:64" x14ac:dyDescent="0.25">
      <c r="BL499">
        <v>1023</v>
      </c>
    </row>
    <row r="500" spans="64:64" x14ac:dyDescent="0.25">
      <c r="BL500">
        <v>1024</v>
      </c>
    </row>
    <row r="501" spans="64:64" x14ac:dyDescent="0.25">
      <c r="BL501">
        <v>1025</v>
      </c>
    </row>
    <row r="502" spans="64:64" x14ac:dyDescent="0.25">
      <c r="BL502">
        <v>1026</v>
      </c>
    </row>
    <row r="503" spans="64:64" x14ac:dyDescent="0.25">
      <c r="BL503">
        <v>1030</v>
      </c>
    </row>
    <row r="504" spans="64:64" x14ac:dyDescent="0.25">
      <c r="BL504">
        <v>1031</v>
      </c>
    </row>
    <row r="505" spans="64:64" x14ac:dyDescent="0.25">
      <c r="BL505">
        <v>1032</v>
      </c>
    </row>
    <row r="506" spans="64:64" x14ac:dyDescent="0.25">
      <c r="BL506">
        <v>1033</v>
      </c>
    </row>
    <row r="507" spans="64:64" x14ac:dyDescent="0.25">
      <c r="BL507">
        <v>1034</v>
      </c>
    </row>
    <row r="508" spans="64:64" x14ac:dyDescent="0.25">
      <c r="BL508">
        <v>1035</v>
      </c>
    </row>
    <row r="509" spans="64:64" x14ac:dyDescent="0.25">
      <c r="BL509">
        <v>1037</v>
      </c>
    </row>
    <row r="510" spans="64:64" x14ac:dyDescent="0.25">
      <c r="BL510">
        <v>1039</v>
      </c>
    </row>
    <row r="511" spans="64:64" x14ac:dyDescent="0.25">
      <c r="BL511">
        <v>1040</v>
      </c>
    </row>
    <row r="512" spans="64:64" x14ac:dyDescent="0.25">
      <c r="BL512">
        <v>1041</v>
      </c>
    </row>
    <row r="513" spans="64:64" x14ac:dyDescent="0.25">
      <c r="BL513">
        <v>1042</v>
      </c>
    </row>
    <row r="514" spans="64:64" x14ac:dyDescent="0.25">
      <c r="BL514">
        <v>1043</v>
      </c>
    </row>
    <row r="515" spans="64:64" x14ac:dyDescent="0.25">
      <c r="BL515">
        <v>1044</v>
      </c>
    </row>
    <row r="516" spans="64:64" x14ac:dyDescent="0.25">
      <c r="BL516">
        <v>1045</v>
      </c>
    </row>
    <row r="517" spans="64:64" x14ac:dyDescent="0.25">
      <c r="BL517">
        <v>1046</v>
      </c>
    </row>
    <row r="518" spans="64:64" x14ac:dyDescent="0.25">
      <c r="BL518">
        <v>1047</v>
      </c>
    </row>
    <row r="519" spans="64:64" x14ac:dyDescent="0.25">
      <c r="BL519">
        <v>1048</v>
      </c>
    </row>
    <row r="520" spans="64:64" x14ac:dyDescent="0.25">
      <c r="BL520">
        <v>1049</v>
      </c>
    </row>
    <row r="521" spans="64:64" x14ac:dyDescent="0.25">
      <c r="BL521">
        <v>1050</v>
      </c>
    </row>
    <row r="522" spans="64:64" x14ac:dyDescent="0.25">
      <c r="BL522">
        <v>1051</v>
      </c>
    </row>
    <row r="523" spans="64:64" x14ac:dyDescent="0.25">
      <c r="BL523">
        <v>1052</v>
      </c>
    </row>
    <row r="524" spans="64:64" x14ac:dyDescent="0.25">
      <c r="BL524">
        <v>1053</v>
      </c>
    </row>
    <row r="525" spans="64:64" x14ac:dyDescent="0.25">
      <c r="BL525">
        <v>1054</v>
      </c>
    </row>
    <row r="526" spans="64:64" x14ac:dyDescent="0.25">
      <c r="BL526">
        <v>1055</v>
      </c>
    </row>
    <row r="527" spans="64:64" x14ac:dyDescent="0.25">
      <c r="BL527">
        <v>1056</v>
      </c>
    </row>
    <row r="528" spans="64:64" x14ac:dyDescent="0.25">
      <c r="BL528">
        <v>1057</v>
      </c>
    </row>
    <row r="529" spans="64:64" x14ac:dyDescent="0.25">
      <c r="BL529">
        <v>1058</v>
      </c>
    </row>
    <row r="530" spans="64:64" x14ac:dyDescent="0.25">
      <c r="BL530">
        <v>1059</v>
      </c>
    </row>
    <row r="531" spans="64:64" x14ac:dyDescent="0.25">
      <c r="BL531">
        <v>1060</v>
      </c>
    </row>
    <row r="532" spans="64:64" x14ac:dyDescent="0.25">
      <c r="BL532">
        <v>1061</v>
      </c>
    </row>
    <row r="533" spans="64:64" x14ac:dyDescent="0.25">
      <c r="BL533">
        <v>1062</v>
      </c>
    </row>
    <row r="534" spans="64:64" x14ac:dyDescent="0.25">
      <c r="BL534">
        <v>1063</v>
      </c>
    </row>
    <row r="535" spans="64:64" x14ac:dyDescent="0.25">
      <c r="BL535">
        <v>1064</v>
      </c>
    </row>
    <row r="536" spans="64:64" x14ac:dyDescent="0.25">
      <c r="BL536">
        <v>1065</v>
      </c>
    </row>
    <row r="537" spans="64:64" x14ac:dyDescent="0.25">
      <c r="BL537">
        <v>1066</v>
      </c>
    </row>
    <row r="538" spans="64:64" x14ac:dyDescent="0.25">
      <c r="BL538">
        <v>1067</v>
      </c>
    </row>
    <row r="539" spans="64:64" x14ac:dyDescent="0.25">
      <c r="BL539">
        <v>1068</v>
      </c>
    </row>
    <row r="540" spans="64:64" x14ac:dyDescent="0.25">
      <c r="BL540">
        <v>1069</v>
      </c>
    </row>
    <row r="541" spans="64:64" x14ac:dyDescent="0.25">
      <c r="BL541">
        <v>1070</v>
      </c>
    </row>
    <row r="542" spans="64:64" x14ac:dyDescent="0.25">
      <c r="BL542">
        <v>1071</v>
      </c>
    </row>
    <row r="543" spans="64:64" x14ac:dyDescent="0.25">
      <c r="BL543">
        <v>1072</v>
      </c>
    </row>
    <row r="544" spans="64:64" x14ac:dyDescent="0.25">
      <c r="BL544">
        <v>1073</v>
      </c>
    </row>
    <row r="545" spans="64:64" x14ac:dyDescent="0.25">
      <c r="BL545">
        <v>1074</v>
      </c>
    </row>
    <row r="546" spans="64:64" x14ac:dyDescent="0.25">
      <c r="BL546">
        <v>1075</v>
      </c>
    </row>
    <row r="547" spans="64:64" x14ac:dyDescent="0.25">
      <c r="BL547">
        <v>1076</v>
      </c>
    </row>
    <row r="548" spans="64:64" x14ac:dyDescent="0.25">
      <c r="BL548">
        <v>1078</v>
      </c>
    </row>
    <row r="549" spans="64:64" x14ac:dyDescent="0.25">
      <c r="BL549">
        <v>1081</v>
      </c>
    </row>
    <row r="550" spans="64:64" x14ac:dyDescent="0.25">
      <c r="BL550">
        <v>1083</v>
      </c>
    </row>
    <row r="551" spans="64:64" x14ac:dyDescent="0.25">
      <c r="BL551">
        <v>1084</v>
      </c>
    </row>
    <row r="552" spans="64:64" x14ac:dyDescent="0.25">
      <c r="BL552">
        <v>1085</v>
      </c>
    </row>
    <row r="553" spans="64:64" x14ac:dyDescent="0.25">
      <c r="BL553">
        <v>1086</v>
      </c>
    </row>
    <row r="554" spans="64:64" x14ac:dyDescent="0.25">
      <c r="BL554">
        <v>1087</v>
      </c>
    </row>
    <row r="555" spans="64:64" x14ac:dyDescent="0.25">
      <c r="BL555">
        <v>1088</v>
      </c>
    </row>
    <row r="556" spans="64:64" x14ac:dyDescent="0.25">
      <c r="BL556">
        <v>1089</v>
      </c>
    </row>
    <row r="557" spans="64:64" x14ac:dyDescent="0.25">
      <c r="BL557">
        <v>1090</v>
      </c>
    </row>
    <row r="558" spans="64:64" x14ac:dyDescent="0.25">
      <c r="BL558">
        <v>1091</v>
      </c>
    </row>
    <row r="559" spans="64:64" x14ac:dyDescent="0.25">
      <c r="BL559">
        <v>1092</v>
      </c>
    </row>
    <row r="560" spans="64:64" x14ac:dyDescent="0.25">
      <c r="BL560">
        <v>1093</v>
      </c>
    </row>
    <row r="561" spans="64:64" x14ac:dyDescent="0.25">
      <c r="BL561">
        <v>1095</v>
      </c>
    </row>
    <row r="562" spans="64:64" x14ac:dyDescent="0.25">
      <c r="BL562">
        <v>1097</v>
      </c>
    </row>
    <row r="563" spans="64:64" x14ac:dyDescent="0.25">
      <c r="BL563">
        <v>1099</v>
      </c>
    </row>
    <row r="564" spans="64:64" x14ac:dyDescent="0.25">
      <c r="BL564">
        <v>1100</v>
      </c>
    </row>
    <row r="565" spans="64:64" x14ac:dyDescent="0.25">
      <c r="BL565">
        <v>1101</v>
      </c>
    </row>
    <row r="566" spans="64:64" x14ac:dyDescent="0.25">
      <c r="BL566">
        <v>1102</v>
      </c>
    </row>
    <row r="567" spans="64:64" x14ac:dyDescent="0.25">
      <c r="BL567">
        <v>1103</v>
      </c>
    </row>
    <row r="568" spans="64:64" x14ac:dyDescent="0.25">
      <c r="BL568">
        <v>1105</v>
      </c>
    </row>
    <row r="569" spans="64:64" x14ac:dyDescent="0.25">
      <c r="BL569">
        <v>1106</v>
      </c>
    </row>
    <row r="570" spans="64:64" x14ac:dyDescent="0.25">
      <c r="BL570">
        <v>1107</v>
      </c>
    </row>
    <row r="571" spans="64:64" x14ac:dyDescent="0.25">
      <c r="BL571">
        <v>1108</v>
      </c>
    </row>
    <row r="572" spans="64:64" x14ac:dyDescent="0.25">
      <c r="BL572">
        <v>1109</v>
      </c>
    </row>
    <row r="573" spans="64:64" x14ac:dyDescent="0.25">
      <c r="BL573">
        <v>1110</v>
      </c>
    </row>
    <row r="574" spans="64:64" x14ac:dyDescent="0.25">
      <c r="BL574">
        <v>1111</v>
      </c>
    </row>
    <row r="575" spans="64:64" x14ac:dyDescent="0.25">
      <c r="BL575">
        <v>1112</v>
      </c>
    </row>
    <row r="576" spans="64:64" x14ac:dyDescent="0.25">
      <c r="BL576">
        <v>1113</v>
      </c>
    </row>
    <row r="577" spans="64:64" x14ac:dyDescent="0.25">
      <c r="BL577">
        <v>1114</v>
      </c>
    </row>
    <row r="578" spans="64:64" x14ac:dyDescent="0.25">
      <c r="BL578">
        <v>1115</v>
      </c>
    </row>
    <row r="579" spans="64:64" x14ac:dyDescent="0.25">
      <c r="BL579">
        <v>1116</v>
      </c>
    </row>
    <row r="580" spans="64:64" x14ac:dyDescent="0.25">
      <c r="BL580">
        <v>1117</v>
      </c>
    </row>
    <row r="581" spans="64:64" x14ac:dyDescent="0.25">
      <c r="BL581">
        <v>1118</v>
      </c>
    </row>
    <row r="582" spans="64:64" x14ac:dyDescent="0.25">
      <c r="BL582">
        <v>1119</v>
      </c>
    </row>
    <row r="583" spans="64:64" x14ac:dyDescent="0.25">
      <c r="BL583">
        <v>1120</v>
      </c>
    </row>
    <row r="584" spans="64:64" x14ac:dyDescent="0.25">
      <c r="BL584">
        <v>1121</v>
      </c>
    </row>
    <row r="585" spans="64:64" x14ac:dyDescent="0.25">
      <c r="BL585">
        <v>1122</v>
      </c>
    </row>
    <row r="586" spans="64:64" x14ac:dyDescent="0.25">
      <c r="BL586">
        <v>1123</v>
      </c>
    </row>
    <row r="587" spans="64:64" x14ac:dyDescent="0.25">
      <c r="BL587">
        <v>1124</v>
      </c>
    </row>
    <row r="588" spans="64:64" x14ac:dyDescent="0.25">
      <c r="BL588">
        <v>1125</v>
      </c>
    </row>
    <row r="589" spans="64:64" x14ac:dyDescent="0.25">
      <c r="BL589">
        <v>1126</v>
      </c>
    </row>
    <row r="590" spans="64:64" x14ac:dyDescent="0.25">
      <c r="BL590">
        <v>1127</v>
      </c>
    </row>
    <row r="591" spans="64:64" x14ac:dyDescent="0.25">
      <c r="BL591">
        <v>1128</v>
      </c>
    </row>
    <row r="592" spans="64:64" x14ac:dyDescent="0.25">
      <c r="BL592">
        <v>1129</v>
      </c>
    </row>
    <row r="593" spans="64:64" x14ac:dyDescent="0.25">
      <c r="BL593">
        <v>1130</v>
      </c>
    </row>
    <row r="594" spans="64:64" x14ac:dyDescent="0.25">
      <c r="BL594">
        <v>1131</v>
      </c>
    </row>
    <row r="595" spans="64:64" x14ac:dyDescent="0.25">
      <c r="BL595">
        <v>1132</v>
      </c>
    </row>
    <row r="596" spans="64:64" x14ac:dyDescent="0.25">
      <c r="BL596">
        <v>1133</v>
      </c>
    </row>
    <row r="597" spans="64:64" x14ac:dyDescent="0.25">
      <c r="BL597">
        <v>1134</v>
      </c>
    </row>
    <row r="598" spans="64:64" x14ac:dyDescent="0.25">
      <c r="BL598">
        <v>1135</v>
      </c>
    </row>
    <row r="599" spans="64:64" x14ac:dyDescent="0.25">
      <c r="BL599">
        <v>1136</v>
      </c>
    </row>
    <row r="600" spans="64:64" x14ac:dyDescent="0.25">
      <c r="BL600">
        <v>1137</v>
      </c>
    </row>
    <row r="601" spans="64:64" x14ac:dyDescent="0.25">
      <c r="BL601">
        <v>1138</v>
      </c>
    </row>
    <row r="602" spans="64:64" x14ac:dyDescent="0.25">
      <c r="BL602">
        <v>1139</v>
      </c>
    </row>
    <row r="603" spans="64:64" x14ac:dyDescent="0.25">
      <c r="BL603">
        <v>1140</v>
      </c>
    </row>
    <row r="604" spans="64:64" x14ac:dyDescent="0.25">
      <c r="BL604">
        <v>1141</v>
      </c>
    </row>
    <row r="605" spans="64:64" x14ac:dyDescent="0.25">
      <c r="BL605">
        <v>1142</v>
      </c>
    </row>
    <row r="606" spans="64:64" x14ac:dyDescent="0.25">
      <c r="BL606">
        <v>1143</v>
      </c>
    </row>
    <row r="607" spans="64:64" x14ac:dyDescent="0.25">
      <c r="BL607">
        <v>1144</v>
      </c>
    </row>
    <row r="608" spans="64:64" x14ac:dyDescent="0.25">
      <c r="BL608">
        <v>1145</v>
      </c>
    </row>
    <row r="609" spans="64:64" x14ac:dyDescent="0.25">
      <c r="BL609">
        <v>1146</v>
      </c>
    </row>
    <row r="610" spans="64:64" x14ac:dyDescent="0.25">
      <c r="BL610">
        <v>1147</v>
      </c>
    </row>
    <row r="611" spans="64:64" x14ac:dyDescent="0.25">
      <c r="BL611">
        <v>1148</v>
      </c>
    </row>
    <row r="612" spans="64:64" x14ac:dyDescent="0.25">
      <c r="BL612">
        <v>1149</v>
      </c>
    </row>
    <row r="613" spans="64:64" x14ac:dyDescent="0.25">
      <c r="BL613">
        <v>1150</v>
      </c>
    </row>
    <row r="614" spans="64:64" x14ac:dyDescent="0.25">
      <c r="BL614">
        <v>1151</v>
      </c>
    </row>
    <row r="615" spans="64:64" x14ac:dyDescent="0.25">
      <c r="BL615">
        <v>1152</v>
      </c>
    </row>
    <row r="616" spans="64:64" x14ac:dyDescent="0.25">
      <c r="BL616">
        <v>1153</v>
      </c>
    </row>
    <row r="617" spans="64:64" x14ac:dyDescent="0.25">
      <c r="BL617">
        <v>1154</v>
      </c>
    </row>
    <row r="618" spans="64:64" x14ac:dyDescent="0.25">
      <c r="BL618">
        <v>1155</v>
      </c>
    </row>
    <row r="619" spans="64:64" x14ac:dyDescent="0.25">
      <c r="BL619">
        <v>1156</v>
      </c>
    </row>
    <row r="620" spans="64:64" x14ac:dyDescent="0.25">
      <c r="BL620">
        <v>1157</v>
      </c>
    </row>
    <row r="621" spans="64:64" x14ac:dyDescent="0.25">
      <c r="BL621">
        <v>1158</v>
      </c>
    </row>
    <row r="622" spans="64:64" x14ac:dyDescent="0.25">
      <c r="BL622">
        <v>1159</v>
      </c>
    </row>
    <row r="623" spans="64:64" x14ac:dyDescent="0.25">
      <c r="BL623">
        <v>1160</v>
      </c>
    </row>
    <row r="624" spans="64:64" x14ac:dyDescent="0.25">
      <c r="BL624">
        <v>1161</v>
      </c>
    </row>
    <row r="625" spans="64:64" x14ac:dyDescent="0.25">
      <c r="BL625">
        <v>1162</v>
      </c>
    </row>
    <row r="626" spans="64:64" x14ac:dyDescent="0.25">
      <c r="BL626">
        <v>1163</v>
      </c>
    </row>
    <row r="627" spans="64:64" x14ac:dyDescent="0.25">
      <c r="BL627">
        <v>1164</v>
      </c>
    </row>
    <row r="628" spans="64:64" x14ac:dyDescent="0.25">
      <c r="BL628">
        <v>1165</v>
      </c>
    </row>
    <row r="629" spans="64:64" x14ac:dyDescent="0.25">
      <c r="BL629">
        <v>1166</v>
      </c>
    </row>
    <row r="630" spans="64:64" x14ac:dyDescent="0.25">
      <c r="BL630">
        <v>1167</v>
      </c>
    </row>
    <row r="631" spans="64:64" x14ac:dyDescent="0.25">
      <c r="BL631">
        <v>1168</v>
      </c>
    </row>
    <row r="632" spans="64:64" x14ac:dyDescent="0.25">
      <c r="BL632">
        <v>1169</v>
      </c>
    </row>
    <row r="633" spans="64:64" x14ac:dyDescent="0.25">
      <c r="BL633">
        <v>1170</v>
      </c>
    </row>
    <row r="634" spans="64:64" x14ac:dyDescent="0.25">
      <c r="BL634">
        <v>1171</v>
      </c>
    </row>
    <row r="635" spans="64:64" x14ac:dyDescent="0.25">
      <c r="BL635">
        <v>1172</v>
      </c>
    </row>
    <row r="636" spans="64:64" x14ac:dyDescent="0.25">
      <c r="BL636">
        <v>1173</v>
      </c>
    </row>
    <row r="637" spans="64:64" x14ac:dyDescent="0.25">
      <c r="BL637">
        <v>1174</v>
      </c>
    </row>
    <row r="638" spans="64:64" x14ac:dyDescent="0.25">
      <c r="BL638">
        <v>1175</v>
      </c>
    </row>
    <row r="639" spans="64:64" x14ac:dyDescent="0.25">
      <c r="BL639">
        <v>1176</v>
      </c>
    </row>
    <row r="640" spans="64:64" x14ac:dyDescent="0.25">
      <c r="BL640">
        <v>1177</v>
      </c>
    </row>
    <row r="641" spans="64:64" x14ac:dyDescent="0.25">
      <c r="BL641">
        <v>1178</v>
      </c>
    </row>
    <row r="642" spans="64:64" x14ac:dyDescent="0.25">
      <c r="BL642">
        <v>1179</v>
      </c>
    </row>
    <row r="643" spans="64:64" x14ac:dyDescent="0.25">
      <c r="BL643">
        <v>1181</v>
      </c>
    </row>
    <row r="644" spans="64:64" x14ac:dyDescent="0.25">
      <c r="BL644">
        <v>1183</v>
      </c>
    </row>
    <row r="645" spans="64:64" x14ac:dyDescent="0.25">
      <c r="BL645">
        <v>1185</v>
      </c>
    </row>
    <row r="646" spans="64:64" x14ac:dyDescent="0.25">
      <c r="BL646">
        <v>1186</v>
      </c>
    </row>
    <row r="647" spans="64:64" x14ac:dyDescent="0.25">
      <c r="BL647">
        <v>1187</v>
      </c>
    </row>
    <row r="648" spans="64:64" x14ac:dyDescent="0.25">
      <c r="BL648">
        <v>1189</v>
      </c>
    </row>
    <row r="649" spans="64:64" x14ac:dyDescent="0.25">
      <c r="BL649">
        <v>1190</v>
      </c>
    </row>
    <row r="650" spans="64:64" x14ac:dyDescent="0.25">
      <c r="BL650">
        <v>1191</v>
      </c>
    </row>
    <row r="651" spans="64:64" x14ac:dyDescent="0.25">
      <c r="BL651">
        <v>1192</v>
      </c>
    </row>
    <row r="652" spans="64:64" x14ac:dyDescent="0.25">
      <c r="BL652">
        <v>1193</v>
      </c>
    </row>
    <row r="653" spans="64:64" x14ac:dyDescent="0.25">
      <c r="BL653">
        <v>1194</v>
      </c>
    </row>
    <row r="654" spans="64:64" x14ac:dyDescent="0.25">
      <c r="BL654">
        <v>1196</v>
      </c>
    </row>
    <row r="655" spans="64:64" x14ac:dyDescent="0.25">
      <c r="BL655">
        <v>1197</v>
      </c>
    </row>
    <row r="656" spans="64:64" x14ac:dyDescent="0.25">
      <c r="BL656">
        <v>1198</v>
      </c>
    </row>
    <row r="657" spans="64:64" x14ac:dyDescent="0.25">
      <c r="BL657">
        <v>1200</v>
      </c>
    </row>
    <row r="658" spans="64:64" x14ac:dyDescent="0.25">
      <c r="BL658">
        <v>1201</v>
      </c>
    </row>
    <row r="659" spans="64:64" x14ac:dyDescent="0.25">
      <c r="BL659">
        <v>1202</v>
      </c>
    </row>
    <row r="660" spans="64:64" x14ac:dyDescent="0.25">
      <c r="BL660">
        <v>1203</v>
      </c>
    </row>
    <row r="661" spans="64:64" x14ac:dyDescent="0.25">
      <c r="BL661">
        <v>1204</v>
      </c>
    </row>
    <row r="662" spans="64:64" x14ac:dyDescent="0.25">
      <c r="BL662">
        <v>1205</v>
      </c>
    </row>
    <row r="663" spans="64:64" x14ac:dyDescent="0.25">
      <c r="BL663">
        <v>1206</v>
      </c>
    </row>
    <row r="664" spans="64:64" x14ac:dyDescent="0.25">
      <c r="BL664">
        <v>1207</v>
      </c>
    </row>
    <row r="665" spans="64:64" x14ac:dyDescent="0.25">
      <c r="BL665">
        <v>1208</v>
      </c>
    </row>
    <row r="666" spans="64:64" x14ac:dyDescent="0.25">
      <c r="BL666">
        <v>1209</v>
      </c>
    </row>
    <row r="667" spans="64:64" x14ac:dyDescent="0.25">
      <c r="BL667">
        <v>1210</v>
      </c>
    </row>
    <row r="668" spans="64:64" x14ac:dyDescent="0.25">
      <c r="BL668">
        <v>1211</v>
      </c>
    </row>
    <row r="669" spans="64:64" x14ac:dyDescent="0.25">
      <c r="BL669">
        <v>1212</v>
      </c>
    </row>
    <row r="670" spans="64:64" x14ac:dyDescent="0.25">
      <c r="BL670">
        <v>1213</v>
      </c>
    </row>
    <row r="671" spans="64:64" x14ac:dyDescent="0.25">
      <c r="BL671">
        <v>1214</v>
      </c>
    </row>
    <row r="672" spans="64:64" x14ac:dyDescent="0.25">
      <c r="BL672">
        <v>1215</v>
      </c>
    </row>
    <row r="673" spans="64:64" x14ac:dyDescent="0.25">
      <c r="BL673">
        <v>1216</v>
      </c>
    </row>
    <row r="674" spans="64:64" x14ac:dyDescent="0.25">
      <c r="BL674">
        <v>1217</v>
      </c>
    </row>
    <row r="675" spans="64:64" x14ac:dyDescent="0.25">
      <c r="BL675">
        <v>1218</v>
      </c>
    </row>
    <row r="676" spans="64:64" x14ac:dyDescent="0.25">
      <c r="BL676">
        <v>1219</v>
      </c>
    </row>
    <row r="677" spans="64:64" x14ac:dyDescent="0.25">
      <c r="BL677">
        <v>1220</v>
      </c>
    </row>
    <row r="678" spans="64:64" x14ac:dyDescent="0.25">
      <c r="BL678">
        <v>1221</v>
      </c>
    </row>
    <row r="679" spans="64:64" x14ac:dyDescent="0.25">
      <c r="BL679">
        <v>1222</v>
      </c>
    </row>
    <row r="680" spans="64:64" x14ac:dyDescent="0.25">
      <c r="BL680">
        <v>1223</v>
      </c>
    </row>
    <row r="681" spans="64:64" x14ac:dyDescent="0.25">
      <c r="BL681">
        <v>1224</v>
      </c>
    </row>
    <row r="682" spans="64:64" x14ac:dyDescent="0.25">
      <c r="BL682">
        <v>1225</v>
      </c>
    </row>
    <row r="683" spans="64:64" x14ac:dyDescent="0.25">
      <c r="BL683">
        <v>1226</v>
      </c>
    </row>
    <row r="684" spans="64:64" x14ac:dyDescent="0.25">
      <c r="BL684">
        <v>1227</v>
      </c>
    </row>
    <row r="685" spans="64:64" x14ac:dyDescent="0.25">
      <c r="BL685">
        <v>1228</v>
      </c>
    </row>
    <row r="686" spans="64:64" x14ac:dyDescent="0.25">
      <c r="BL686">
        <v>1229</v>
      </c>
    </row>
    <row r="687" spans="64:64" x14ac:dyDescent="0.25">
      <c r="BL687">
        <v>1230</v>
      </c>
    </row>
    <row r="688" spans="64:64" x14ac:dyDescent="0.25">
      <c r="BL688">
        <v>1231</v>
      </c>
    </row>
    <row r="689" spans="64:64" x14ac:dyDescent="0.25">
      <c r="BL689">
        <v>1232</v>
      </c>
    </row>
    <row r="690" spans="64:64" x14ac:dyDescent="0.25">
      <c r="BL690">
        <v>1233</v>
      </c>
    </row>
    <row r="691" spans="64:64" x14ac:dyDescent="0.25">
      <c r="BL691">
        <v>1234</v>
      </c>
    </row>
    <row r="692" spans="64:64" x14ac:dyDescent="0.25">
      <c r="BL692">
        <v>1235</v>
      </c>
    </row>
    <row r="693" spans="64:64" x14ac:dyDescent="0.25">
      <c r="BL693">
        <v>1236</v>
      </c>
    </row>
    <row r="694" spans="64:64" x14ac:dyDescent="0.25">
      <c r="BL694">
        <v>1237</v>
      </c>
    </row>
    <row r="695" spans="64:64" x14ac:dyDescent="0.25">
      <c r="BL695">
        <v>1238</v>
      </c>
    </row>
    <row r="696" spans="64:64" x14ac:dyDescent="0.25">
      <c r="BL696">
        <v>1239</v>
      </c>
    </row>
    <row r="697" spans="64:64" x14ac:dyDescent="0.25">
      <c r="BL697">
        <v>1240</v>
      </c>
    </row>
    <row r="698" spans="64:64" x14ac:dyDescent="0.25">
      <c r="BL698">
        <v>1243</v>
      </c>
    </row>
    <row r="699" spans="64:64" x14ac:dyDescent="0.25">
      <c r="BL699">
        <v>1245</v>
      </c>
    </row>
    <row r="700" spans="64:64" x14ac:dyDescent="0.25">
      <c r="BL700">
        <v>1247</v>
      </c>
    </row>
    <row r="701" spans="64:64" x14ac:dyDescent="0.25">
      <c r="BL701">
        <v>1248</v>
      </c>
    </row>
    <row r="702" spans="64:64" x14ac:dyDescent="0.25">
      <c r="BL702">
        <v>1254</v>
      </c>
    </row>
    <row r="703" spans="64:64" x14ac:dyDescent="0.25">
      <c r="BL703">
        <v>1255</v>
      </c>
    </row>
    <row r="704" spans="64:64" x14ac:dyDescent="0.25">
      <c r="BL704">
        <v>1256</v>
      </c>
    </row>
    <row r="705" spans="64:64" x14ac:dyDescent="0.25">
      <c r="BL705">
        <v>1257</v>
      </c>
    </row>
    <row r="706" spans="64:64" x14ac:dyDescent="0.25">
      <c r="BL706">
        <v>1258</v>
      </c>
    </row>
    <row r="707" spans="64:64" x14ac:dyDescent="0.25">
      <c r="BL707">
        <v>1259</v>
      </c>
    </row>
    <row r="708" spans="64:64" x14ac:dyDescent="0.25">
      <c r="BL708">
        <v>1260</v>
      </c>
    </row>
    <row r="709" spans="64:64" x14ac:dyDescent="0.25">
      <c r="BL709">
        <v>1262</v>
      </c>
    </row>
    <row r="710" spans="64:64" x14ac:dyDescent="0.25">
      <c r="BL710">
        <v>1263</v>
      </c>
    </row>
    <row r="711" spans="64:64" x14ac:dyDescent="0.25">
      <c r="BL711">
        <v>1264</v>
      </c>
    </row>
    <row r="712" spans="64:64" x14ac:dyDescent="0.25">
      <c r="BL712">
        <v>1265</v>
      </c>
    </row>
    <row r="713" spans="64:64" x14ac:dyDescent="0.25">
      <c r="BL713">
        <v>1266</v>
      </c>
    </row>
    <row r="714" spans="64:64" x14ac:dyDescent="0.25">
      <c r="BL714">
        <v>1267</v>
      </c>
    </row>
    <row r="715" spans="64:64" x14ac:dyDescent="0.25">
      <c r="BL715">
        <v>1268</v>
      </c>
    </row>
    <row r="716" spans="64:64" x14ac:dyDescent="0.25">
      <c r="BL716">
        <v>1269</v>
      </c>
    </row>
    <row r="717" spans="64:64" x14ac:dyDescent="0.25">
      <c r="BL717">
        <v>1270</v>
      </c>
    </row>
    <row r="718" spans="64:64" x14ac:dyDescent="0.25">
      <c r="BL718">
        <v>1271</v>
      </c>
    </row>
    <row r="719" spans="64:64" x14ac:dyDescent="0.25">
      <c r="BL719" s="12">
        <v>1272</v>
      </c>
    </row>
    <row r="720" spans="64:64" x14ac:dyDescent="0.25">
      <c r="BL720">
        <v>1273</v>
      </c>
    </row>
    <row r="721" spans="64:64" x14ac:dyDescent="0.25">
      <c r="BL721">
        <v>1274</v>
      </c>
    </row>
    <row r="722" spans="64:64" x14ac:dyDescent="0.25">
      <c r="BL722">
        <v>1275</v>
      </c>
    </row>
    <row r="723" spans="64:64" x14ac:dyDescent="0.25">
      <c r="BL723">
        <v>1276</v>
      </c>
    </row>
    <row r="724" spans="64:64" x14ac:dyDescent="0.25">
      <c r="BL724">
        <v>1277</v>
      </c>
    </row>
    <row r="725" spans="64:64" x14ac:dyDescent="0.25">
      <c r="BL725">
        <v>1278</v>
      </c>
    </row>
    <row r="726" spans="64:64" x14ac:dyDescent="0.25">
      <c r="BL726">
        <v>1279</v>
      </c>
    </row>
    <row r="727" spans="64:64" x14ac:dyDescent="0.25">
      <c r="BL727">
        <v>1280</v>
      </c>
    </row>
    <row r="728" spans="64:64" x14ac:dyDescent="0.25">
      <c r="BL728">
        <v>1281</v>
      </c>
    </row>
    <row r="729" spans="64:64" x14ac:dyDescent="0.25">
      <c r="BL729">
        <v>1282</v>
      </c>
    </row>
    <row r="730" spans="64:64" x14ac:dyDescent="0.25">
      <c r="BL730">
        <v>1283</v>
      </c>
    </row>
    <row r="731" spans="64:64" x14ac:dyDescent="0.25">
      <c r="BL731">
        <v>1284</v>
      </c>
    </row>
    <row r="732" spans="64:64" x14ac:dyDescent="0.25">
      <c r="BL732">
        <v>1285</v>
      </c>
    </row>
    <row r="733" spans="64:64" x14ac:dyDescent="0.25">
      <c r="BL733">
        <v>1286</v>
      </c>
    </row>
    <row r="734" spans="64:64" x14ac:dyDescent="0.25">
      <c r="BL734">
        <v>1287</v>
      </c>
    </row>
    <row r="735" spans="64:64" x14ac:dyDescent="0.25">
      <c r="BL735">
        <v>1288</v>
      </c>
    </row>
    <row r="736" spans="64:64" x14ac:dyDescent="0.25">
      <c r="BL736">
        <v>1289</v>
      </c>
    </row>
    <row r="737" spans="64:64" x14ac:dyDescent="0.25">
      <c r="BL737">
        <v>1290</v>
      </c>
    </row>
    <row r="738" spans="64:64" x14ac:dyDescent="0.25">
      <c r="BL738">
        <v>1291</v>
      </c>
    </row>
    <row r="739" spans="64:64" x14ac:dyDescent="0.25">
      <c r="BL739">
        <v>1292</v>
      </c>
    </row>
    <row r="740" spans="64:64" x14ac:dyDescent="0.25">
      <c r="BL740">
        <v>1293</v>
      </c>
    </row>
    <row r="741" spans="64:64" x14ac:dyDescent="0.25">
      <c r="BL741">
        <v>1294</v>
      </c>
    </row>
    <row r="742" spans="64:64" x14ac:dyDescent="0.25">
      <c r="BL742">
        <v>1295</v>
      </c>
    </row>
    <row r="743" spans="64:64" x14ac:dyDescent="0.25">
      <c r="BL743">
        <v>1296</v>
      </c>
    </row>
    <row r="744" spans="64:64" x14ac:dyDescent="0.25">
      <c r="BL744">
        <v>1297</v>
      </c>
    </row>
    <row r="745" spans="64:64" x14ac:dyDescent="0.25">
      <c r="BL745">
        <v>1298</v>
      </c>
    </row>
    <row r="746" spans="64:64" x14ac:dyDescent="0.25">
      <c r="BL746">
        <v>1299</v>
      </c>
    </row>
    <row r="747" spans="64:64" x14ac:dyDescent="0.25">
      <c r="BL747">
        <v>1300</v>
      </c>
    </row>
    <row r="748" spans="64:64" x14ac:dyDescent="0.25">
      <c r="BL748">
        <v>1301</v>
      </c>
    </row>
    <row r="749" spans="64:64" x14ac:dyDescent="0.25">
      <c r="BL749">
        <v>1302</v>
      </c>
    </row>
    <row r="750" spans="64:64" x14ac:dyDescent="0.25">
      <c r="BL750">
        <v>1303</v>
      </c>
    </row>
    <row r="751" spans="64:64" x14ac:dyDescent="0.25">
      <c r="BL751">
        <v>1304</v>
      </c>
    </row>
    <row r="752" spans="64:64" x14ac:dyDescent="0.25">
      <c r="BL752">
        <v>1305</v>
      </c>
    </row>
    <row r="753" spans="64:64" x14ac:dyDescent="0.25">
      <c r="BL753">
        <v>1306</v>
      </c>
    </row>
    <row r="754" spans="64:64" x14ac:dyDescent="0.25">
      <c r="BL754">
        <v>1307</v>
      </c>
    </row>
    <row r="755" spans="64:64" x14ac:dyDescent="0.25">
      <c r="BL755">
        <v>1308</v>
      </c>
    </row>
    <row r="756" spans="64:64" x14ac:dyDescent="0.25">
      <c r="BL756">
        <v>1309</v>
      </c>
    </row>
    <row r="757" spans="64:64" x14ac:dyDescent="0.25">
      <c r="BL757">
        <v>1310</v>
      </c>
    </row>
    <row r="758" spans="64:64" x14ac:dyDescent="0.25">
      <c r="BL758">
        <v>1311</v>
      </c>
    </row>
    <row r="759" spans="64:64" x14ac:dyDescent="0.25">
      <c r="BL759">
        <v>1312</v>
      </c>
    </row>
    <row r="760" spans="64:64" x14ac:dyDescent="0.25">
      <c r="BL760">
        <v>1313</v>
      </c>
    </row>
    <row r="761" spans="64:64" x14ac:dyDescent="0.25">
      <c r="BL761">
        <v>1314</v>
      </c>
    </row>
    <row r="762" spans="64:64" x14ac:dyDescent="0.25">
      <c r="BL762">
        <v>1315</v>
      </c>
    </row>
    <row r="763" spans="64:64" x14ac:dyDescent="0.25">
      <c r="BL763">
        <v>1316</v>
      </c>
    </row>
    <row r="764" spans="64:64" x14ac:dyDescent="0.25">
      <c r="BL764">
        <v>1317</v>
      </c>
    </row>
    <row r="765" spans="64:64" x14ac:dyDescent="0.25">
      <c r="BL765">
        <v>1318</v>
      </c>
    </row>
    <row r="766" spans="64:64" x14ac:dyDescent="0.25">
      <c r="BL766">
        <v>1319</v>
      </c>
    </row>
    <row r="767" spans="64:64" x14ac:dyDescent="0.25">
      <c r="BL767">
        <v>1320</v>
      </c>
    </row>
    <row r="768" spans="64:64" x14ac:dyDescent="0.25">
      <c r="BL768">
        <v>1321</v>
      </c>
    </row>
    <row r="769" spans="64:64" x14ac:dyDescent="0.25">
      <c r="BL769">
        <v>1322</v>
      </c>
    </row>
    <row r="770" spans="64:64" x14ac:dyDescent="0.25">
      <c r="BL770">
        <v>1323</v>
      </c>
    </row>
    <row r="771" spans="64:64" x14ac:dyDescent="0.25">
      <c r="BL771">
        <v>1324</v>
      </c>
    </row>
    <row r="772" spans="64:64" x14ac:dyDescent="0.25">
      <c r="BL772">
        <v>1325</v>
      </c>
    </row>
    <row r="773" spans="64:64" x14ac:dyDescent="0.25">
      <c r="BL773">
        <v>1326</v>
      </c>
    </row>
    <row r="774" spans="64:64" x14ac:dyDescent="0.25">
      <c r="BL774">
        <v>1327</v>
      </c>
    </row>
    <row r="775" spans="64:64" x14ac:dyDescent="0.25">
      <c r="BL775">
        <v>1328</v>
      </c>
    </row>
    <row r="776" spans="64:64" x14ac:dyDescent="0.25">
      <c r="BL776">
        <v>1329</v>
      </c>
    </row>
    <row r="777" spans="64:64" x14ac:dyDescent="0.25">
      <c r="BL777">
        <v>1330</v>
      </c>
    </row>
    <row r="778" spans="64:64" x14ac:dyDescent="0.25">
      <c r="BL778">
        <v>1331</v>
      </c>
    </row>
    <row r="779" spans="64:64" x14ac:dyDescent="0.25">
      <c r="BL779">
        <v>1332</v>
      </c>
    </row>
    <row r="780" spans="64:64" x14ac:dyDescent="0.25">
      <c r="BL780">
        <v>1333</v>
      </c>
    </row>
    <row r="781" spans="64:64" x14ac:dyDescent="0.25">
      <c r="BL781">
        <v>1334</v>
      </c>
    </row>
    <row r="782" spans="64:64" x14ac:dyDescent="0.25">
      <c r="BL782">
        <v>1335</v>
      </c>
    </row>
    <row r="783" spans="64:64" x14ac:dyDescent="0.25">
      <c r="BL783">
        <v>1337</v>
      </c>
    </row>
    <row r="784" spans="64:64" x14ac:dyDescent="0.25">
      <c r="BL784">
        <v>1339</v>
      </c>
    </row>
    <row r="785" spans="64:64" x14ac:dyDescent="0.25">
      <c r="BL785">
        <v>1340</v>
      </c>
    </row>
    <row r="786" spans="64:64" x14ac:dyDescent="0.25">
      <c r="BL786">
        <v>1341</v>
      </c>
    </row>
    <row r="787" spans="64:64" x14ac:dyDescent="0.25">
      <c r="BL787">
        <v>1342</v>
      </c>
    </row>
    <row r="788" spans="64:64" x14ac:dyDescent="0.25">
      <c r="BL788">
        <v>1343</v>
      </c>
    </row>
    <row r="789" spans="64:64" x14ac:dyDescent="0.25">
      <c r="BL789">
        <v>1344</v>
      </c>
    </row>
    <row r="790" spans="64:64" x14ac:dyDescent="0.25">
      <c r="BL790">
        <v>1345</v>
      </c>
    </row>
    <row r="791" spans="64:64" x14ac:dyDescent="0.25">
      <c r="BL791">
        <v>1346</v>
      </c>
    </row>
    <row r="792" spans="64:64" x14ac:dyDescent="0.25">
      <c r="BL792">
        <v>1347</v>
      </c>
    </row>
    <row r="793" spans="64:64" x14ac:dyDescent="0.25">
      <c r="BL793">
        <v>1348</v>
      </c>
    </row>
    <row r="794" spans="64:64" x14ac:dyDescent="0.25">
      <c r="BL794">
        <v>1349</v>
      </c>
    </row>
    <row r="795" spans="64:64" x14ac:dyDescent="0.25">
      <c r="BL795">
        <v>1350</v>
      </c>
    </row>
    <row r="796" spans="64:64" x14ac:dyDescent="0.25">
      <c r="BL796">
        <v>1351</v>
      </c>
    </row>
    <row r="797" spans="64:64" x14ac:dyDescent="0.25">
      <c r="BL797">
        <v>1352</v>
      </c>
    </row>
    <row r="798" spans="64:64" x14ac:dyDescent="0.25">
      <c r="BL798">
        <v>1353</v>
      </c>
    </row>
    <row r="799" spans="64:64" x14ac:dyDescent="0.25">
      <c r="BL799">
        <v>1354</v>
      </c>
    </row>
    <row r="800" spans="64:64" x14ac:dyDescent="0.25">
      <c r="BL800">
        <v>1355</v>
      </c>
    </row>
    <row r="801" spans="64:64" x14ac:dyDescent="0.25">
      <c r="BL801">
        <v>1356</v>
      </c>
    </row>
    <row r="802" spans="64:64" x14ac:dyDescent="0.25">
      <c r="BL802">
        <v>1357</v>
      </c>
    </row>
    <row r="803" spans="64:64" x14ac:dyDescent="0.25">
      <c r="BL803">
        <v>1358</v>
      </c>
    </row>
    <row r="804" spans="64:64" x14ac:dyDescent="0.25">
      <c r="BL804">
        <v>1359</v>
      </c>
    </row>
    <row r="805" spans="64:64" x14ac:dyDescent="0.25">
      <c r="BL805">
        <v>1360</v>
      </c>
    </row>
    <row r="806" spans="64:64" x14ac:dyDescent="0.25">
      <c r="BL806">
        <v>1361</v>
      </c>
    </row>
    <row r="807" spans="64:64" x14ac:dyDescent="0.25">
      <c r="BL807">
        <v>1362</v>
      </c>
    </row>
    <row r="808" spans="64:64" x14ac:dyDescent="0.25">
      <c r="BL808">
        <v>1363</v>
      </c>
    </row>
    <row r="809" spans="64:64" x14ac:dyDescent="0.25">
      <c r="BL809">
        <v>1364</v>
      </c>
    </row>
    <row r="810" spans="64:64" x14ac:dyDescent="0.25">
      <c r="BL810">
        <v>1365</v>
      </c>
    </row>
    <row r="811" spans="64:64" x14ac:dyDescent="0.25">
      <c r="BL811">
        <v>1366</v>
      </c>
    </row>
    <row r="812" spans="64:64" x14ac:dyDescent="0.25">
      <c r="BL812">
        <v>1367</v>
      </c>
    </row>
    <row r="813" spans="64:64" x14ac:dyDescent="0.25">
      <c r="BL813">
        <v>1368</v>
      </c>
    </row>
    <row r="814" spans="64:64" x14ac:dyDescent="0.25">
      <c r="BL814">
        <v>1369</v>
      </c>
    </row>
    <row r="815" spans="64:64" x14ac:dyDescent="0.25">
      <c r="BL815">
        <v>1370</v>
      </c>
    </row>
    <row r="816" spans="64:64" x14ac:dyDescent="0.25">
      <c r="BL816">
        <v>1371</v>
      </c>
    </row>
    <row r="817" spans="64:64" x14ac:dyDescent="0.25">
      <c r="BL817">
        <v>1372</v>
      </c>
    </row>
    <row r="818" spans="64:64" x14ac:dyDescent="0.25">
      <c r="BL818">
        <v>1373</v>
      </c>
    </row>
    <row r="819" spans="64:64" x14ac:dyDescent="0.25">
      <c r="BL819">
        <v>1374</v>
      </c>
    </row>
    <row r="820" spans="64:64" x14ac:dyDescent="0.25">
      <c r="BL820">
        <v>1375</v>
      </c>
    </row>
    <row r="821" spans="64:64" x14ac:dyDescent="0.25">
      <c r="BL821">
        <v>1376</v>
      </c>
    </row>
    <row r="822" spans="64:64" x14ac:dyDescent="0.25">
      <c r="BL822">
        <v>1377</v>
      </c>
    </row>
    <row r="823" spans="64:64" x14ac:dyDescent="0.25">
      <c r="BL823">
        <v>1378</v>
      </c>
    </row>
    <row r="824" spans="64:64" x14ac:dyDescent="0.25">
      <c r="BL824">
        <v>1379</v>
      </c>
    </row>
    <row r="825" spans="64:64" x14ac:dyDescent="0.25">
      <c r="BL825">
        <v>1380</v>
      </c>
    </row>
    <row r="826" spans="64:64" x14ac:dyDescent="0.25">
      <c r="BL826">
        <v>1381</v>
      </c>
    </row>
    <row r="827" spans="64:64" x14ac:dyDescent="0.25">
      <c r="BL827">
        <v>1382</v>
      </c>
    </row>
    <row r="828" spans="64:64" x14ac:dyDescent="0.25">
      <c r="BL828">
        <v>1383</v>
      </c>
    </row>
    <row r="829" spans="64:64" x14ac:dyDescent="0.25">
      <c r="BL829">
        <v>1392</v>
      </c>
    </row>
    <row r="830" spans="64:64" x14ac:dyDescent="0.25">
      <c r="BL830">
        <v>1395</v>
      </c>
    </row>
    <row r="831" spans="64:64" x14ac:dyDescent="0.25">
      <c r="BL831">
        <v>1398</v>
      </c>
    </row>
    <row r="832" spans="64:64" x14ac:dyDescent="0.25">
      <c r="BL832">
        <v>1400</v>
      </c>
    </row>
    <row r="833" spans="64:64" x14ac:dyDescent="0.25">
      <c r="BL833">
        <v>1401</v>
      </c>
    </row>
    <row r="834" spans="64:64" x14ac:dyDescent="0.25">
      <c r="BL834">
        <v>1402</v>
      </c>
    </row>
    <row r="835" spans="64:64" x14ac:dyDescent="0.25">
      <c r="BL835">
        <v>1403</v>
      </c>
    </row>
    <row r="836" spans="64:64" x14ac:dyDescent="0.25">
      <c r="BL836">
        <v>1404</v>
      </c>
    </row>
    <row r="837" spans="64:64" x14ac:dyDescent="0.25">
      <c r="BL837">
        <v>1405</v>
      </c>
    </row>
    <row r="838" spans="64:64" x14ac:dyDescent="0.25">
      <c r="BL838">
        <v>1406</v>
      </c>
    </row>
    <row r="839" spans="64:64" x14ac:dyDescent="0.25">
      <c r="BL839">
        <v>1407</v>
      </c>
    </row>
    <row r="840" spans="64:64" x14ac:dyDescent="0.25">
      <c r="BL840">
        <v>1408</v>
      </c>
    </row>
    <row r="841" spans="64:64" x14ac:dyDescent="0.25">
      <c r="BL841">
        <v>1409</v>
      </c>
    </row>
    <row r="842" spans="64:64" x14ac:dyDescent="0.25">
      <c r="BL842">
        <v>1410</v>
      </c>
    </row>
    <row r="843" spans="64:64" x14ac:dyDescent="0.25">
      <c r="BL843">
        <v>1411</v>
      </c>
    </row>
    <row r="844" spans="64:64" x14ac:dyDescent="0.25">
      <c r="BL844">
        <v>1412</v>
      </c>
    </row>
    <row r="845" spans="64:64" x14ac:dyDescent="0.25">
      <c r="BL845">
        <v>1413</v>
      </c>
    </row>
    <row r="846" spans="64:64" x14ac:dyDescent="0.25">
      <c r="BL846">
        <v>1414</v>
      </c>
    </row>
    <row r="847" spans="64:64" x14ac:dyDescent="0.25">
      <c r="BL847">
        <v>1415</v>
      </c>
    </row>
    <row r="848" spans="64:64" x14ac:dyDescent="0.25">
      <c r="BL848">
        <v>1416</v>
      </c>
    </row>
    <row r="849" spans="64:64" x14ac:dyDescent="0.25">
      <c r="BL849">
        <v>1417</v>
      </c>
    </row>
    <row r="850" spans="64:64" x14ac:dyDescent="0.25">
      <c r="BL850">
        <v>1418</v>
      </c>
    </row>
    <row r="851" spans="64:64" x14ac:dyDescent="0.25">
      <c r="BL851">
        <v>1419</v>
      </c>
    </row>
    <row r="852" spans="64:64" x14ac:dyDescent="0.25">
      <c r="BL852">
        <v>1420</v>
      </c>
    </row>
    <row r="853" spans="64:64" x14ac:dyDescent="0.25">
      <c r="BL853">
        <v>1421</v>
      </c>
    </row>
    <row r="854" spans="64:64" x14ac:dyDescent="0.25">
      <c r="BL854">
        <v>1422</v>
      </c>
    </row>
    <row r="855" spans="64:64" x14ac:dyDescent="0.25">
      <c r="BL855">
        <v>1423</v>
      </c>
    </row>
    <row r="856" spans="64:64" x14ac:dyDescent="0.25">
      <c r="BL856">
        <v>1424</v>
      </c>
    </row>
    <row r="857" spans="64:64" x14ac:dyDescent="0.25">
      <c r="BL857">
        <v>1425</v>
      </c>
    </row>
    <row r="858" spans="64:64" x14ac:dyDescent="0.25">
      <c r="BL858">
        <v>1426</v>
      </c>
    </row>
    <row r="859" spans="64:64" x14ac:dyDescent="0.25">
      <c r="BL859">
        <v>1427</v>
      </c>
    </row>
    <row r="860" spans="64:64" x14ac:dyDescent="0.25">
      <c r="BL860">
        <v>1428</v>
      </c>
    </row>
    <row r="861" spans="64:64" x14ac:dyDescent="0.25">
      <c r="BL861">
        <v>1429</v>
      </c>
    </row>
    <row r="862" spans="64:64" x14ac:dyDescent="0.25">
      <c r="BL862">
        <v>1430</v>
      </c>
    </row>
    <row r="863" spans="64:64" x14ac:dyDescent="0.25">
      <c r="BL863">
        <v>1431</v>
      </c>
    </row>
    <row r="864" spans="64:64" x14ac:dyDescent="0.25">
      <c r="BL864">
        <v>1433</v>
      </c>
    </row>
    <row r="865" spans="64:64" x14ac:dyDescent="0.25">
      <c r="BL865">
        <v>1434</v>
      </c>
    </row>
    <row r="866" spans="64:64" x14ac:dyDescent="0.25">
      <c r="BL866">
        <v>1435</v>
      </c>
    </row>
    <row r="867" spans="64:64" x14ac:dyDescent="0.25">
      <c r="BL867">
        <v>1436</v>
      </c>
    </row>
    <row r="868" spans="64:64" x14ac:dyDescent="0.25">
      <c r="BL868">
        <v>1437</v>
      </c>
    </row>
    <row r="869" spans="64:64" x14ac:dyDescent="0.25">
      <c r="BL869">
        <v>1438</v>
      </c>
    </row>
    <row r="870" spans="64:64" x14ac:dyDescent="0.25">
      <c r="BL870">
        <v>1439</v>
      </c>
    </row>
    <row r="871" spans="64:64" x14ac:dyDescent="0.25">
      <c r="BL871">
        <v>1440</v>
      </c>
    </row>
    <row r="872" spans="64:64" x14ac:dyDescent="0.25">
      <c r="BL872">
        <v>1441</v>
      </c>
    </row>
    <row r="873" spans="64:64" x14ac:dyDescent="0.25">
      <c r="BL873">
        <v>1442</v>
      </c>
    </row>
    <row r="874" spans="64:64" x14ac:dyDescent="0.25">
      <c r="BL874">
        <v>1443</v>
      </c>
    </row>
    <row r="875" spans="64:64" x14ac:dyDescent="0.25">
      <c r="BL875">
        <v>1444</v>
      </c>
    </row>
    <row r="876" spans="64:64" x14ac:dyDescent="0.25">
      <c r="BL876">
        <v>1445</v>
      </c>
    </row>
    <row r="877" spans="64:64" x14ac:dyDescent="0.25">
      <c r="BL877">
        <v>1450</v>
      </c>
    </row>
    <row r="878" spans="64:64" x14ac:dyDescent="0.25">
      <c r="BL878">
        <v>1451</v>
      </c>
    </row>
    <row r="879" spans="64:64" x14ac:dyDescent="0.25">
      <c r="BL879">
        <v>1452</v>
      </c>
    </row>
    <row r="880" spans="64:64" x14ac:dyDescent="0.25">
      <c r="BL880">
        <v>1453</v>
      </c>
    </row>
    <row r="881" spans="64:64" x14ac:dyDescent="0.25">
      <c r="BL881">
        <v>1454</v>
      </c>
    </row>
    <row r="882" spans="64:64" x14ac:dyDescent="0.25">
      <c r="BL882">
        <v>1455</v>
      </c>
    </row>
    <row r="883" spans="64:64" x14ac:dyDescent="0.25">
      <c r="BL883">
        <v>1456</v>
      </c>
    </row>
    <row r="884" spans="64:64" x14ac:dyDescent="0.25">
      <c r="BL884">
        <v>1457</v>
      </c>
    </row>
    <row r="885" spans="64:64" x14ac:dyDescent="0.25">
      <c r="BL885">
        <v>1458</v>
      </c>
    </row>
    <row r="886" spans="64:64" x14ac:dyDescent="0.25">
      <c r="BL886">
        <v>1459</v>
      </c>
    </row>
    <row r="887" spans="64:64" x14ac:dyDescent="0.25">
      <c r="BL887">
        <v>1460</v>
      </c>
    </row>
    <row r="888" spans="64:64" x14ac:dyDescent="0.25">
      <c r="BL888">
        <v>1461</v>
      </c>
    </row>
    <row r="889" spans="64:64" x14ac:dyDescent="0.25">
      <c r="BL889">
        <v>1462</v>
      </c>
    </row>
    <row r="890" spans="64:64" x14ac:dyDescent="0.25">
      <c r="BL890">
        <v>1463</v>
      </c>
    </row>
    <row r="891" spans="64:64" x14ac:dyDescent="0.25">
      <c r="BL891">
        <v>1466</v>
      </c>
    </row>
    <row r="892" spans="64:64" x14ac:dyDescent="0.25">
      <c r="BL892">
        <v>1467</v>
      </c>
    </row>
    <row r="893" spans="64:64" x14ac:dyDescent="0.25">
      <c r="BL893">
        <v>1469</v>
      </c>
    </row>
    <row r="894" spans="64:64" x14ac:dyDescent="0.25">
      <c r="BL894">
        <v>1471</v>
      </c>
    </row>
    <row r="895" spans="64:64" x14ac:dyDescent="0.25">
      <c r="BL895">
        <v>1472</v>
      </c>
    </row>
    <row r="896" spans="64:64" x14ac:dyDescent="0.25">
      <c r="BL896">
        <v>1473</v>
      </c>
    </row>
    <row r="897" spans="64:64" x14ac:dyDescent="0.25">
      <c r="BL897">
        <v>1474</v>
      </c>
    </row>
    <row r="898" spans="64:64" x14ac:dyDescent="0.25">
      <c r="BL898">
        <v>1475</v>
      </c>
    </row>
    <row r="899" spans="64:64" x14ac:dyDescent="0.25">
      <c r="BL899">
        <v>1476</v>
      </c>
    </row>
    <row r="900" spans="64:64" x14ac:dyDescent="0.25">
      <c r="BL900">
        <v>1478</v>
      </c>
    </row>
    <row r="901" spans="64:64" x14ac:dyDescent="0.25">
      <c r="BL901">
        <v>1479</v>
      </c>
    </row>
    <row r="902" spans="64:64" x14ac:dyDescent="0.25">
      <c r="BL902">
        <v>1480</v>
      </c>
    </row>
    <row r="903" spans="64:64" x14ac:dyDescent="0.25">
      <c r="BL903">
        <v>1481</v>
      </c>
    </row>
    <row r="904" spans="64:64" x14ac:dyDescent="0.25">
      <c r="BL904">
        <v>1482</v>
      </c>
    </row>
    <row r="905" spans="64:64" x14ac:dyDescent="0.25">
      <c r="BL905">
        <v>1483</v>
      </c>
    </row>
    <row r="906" spans="64:64" x14ac:dyDescent="0.25">
      <c r="BL906">
        <v>1485</v>
      </c>
    </row>
    <row r="907" spans="64:64" x14ac:dyDescent="0.25">
      <c r="BL907">
        <v>1486</v>
      </c>
    </row>
    <row r="908" spans="64:64" x14ac:dyDescent="0.25">
      <c r="BL908">
        <v>1487</v>
      </c>
    </row>
    <row r="909" spans="64:64" x14ac:dyDescent="0.25">
      <c r="BL909">
        <v>1490</v>
      </c>
    </row>
    <row r="910" spans="64:64" x14ac:dyDescent="0.25">
      <c r="BL910">
        <v>1491</v>
      </c>
    </row>
    <row r="911" spans="64:64" x14ac:dyDescent="0.25">
      <c r="BL911">
        <v>1493</v>
      </c>
    </row>
    <row r="912" spans="64:64" x14ac:dyDescent="0.25">
      <c r="BL912">
        <v>1494</v>
      </c>
    </row>
    <row r="913" spans="64:64" x14ac:dyDescent="0.25">
      <c r="BL913">
        <v>1495</v>
      </c>
    </row>
    <row r="914" spans="64:64" x14ac:dyDescent="0.25">
      <c r="BL914">
        <v>1496</v>
      </c>
    </row>
    <row r="915" spans="64:64" x14ac:dyDescent="0.25">
      <c r="BL915">
        <v>1497</v>
      </c>
    </row>
    <row r="916" spans="64:64" x14ac:dyDescent="0.25">
      <c r="BL916">
        <v>1498</v>
      </c>
    </row>
    <row r="917" spans="64:64" x14ac:dyDescent="0.25">
      <c r="BL917">
        <v>1499</v>
      </c>
    </row>
    <row r="918" spans="64:64" x14ac:dyDescent="0.25">
      <c r="BL918">
        <v>1501</v>
      </c>
    </row>
    <row r="919" spans="64:64" x14ac:dyDescent="0.25">
      <c r="BL919">
        <v>1502</v>
      </c>
    </row>
    <row r="920" spans="64:64" x14ac:dyDescent="0.25">
      <c r="BL920">
        <v>1503</v>
      </c>
    </row>
    <row r="921" spans="64:64" x14ac:dyDescent="0.25">
      <c r="BL921">
        <v>1504</v>
      </c>
    </row>
    <row r="922" spans="64:64" x14ac:dyDescent="0.25">
      <c r="BL922">
        <v>1505</v>
      </c>
    </row>
    <row r="923" spans="64:64" x14ac:dyDescent="0.25">
      <c r="BL923">
        <v>1506</v>
      </c>
    </row>
    <row r="924" spans="64:64" x14ac:dyDescent="0.25">
      <c r="BL924">
        <v>1508</v>
      </c>
    </row>
    <row r="925" spans="64:64" x14ac:dyDescent="0.25">
      <c r="BL925">
        <v>1509</v>
      </c>
    </row>
    <row r="926" spans="64:64" x14ac:dyDescent="0.25">
      <c r="BL926">
        <v>1513</v>
      </c>
    </row>
    <row r="927" spans="64:64" x14ac:dyDescent="0.25">
      <c r="BL927">
        <v>1515</v>
      </c>
    </row>
    <row r="928" spans="64:64" x14ac:dyDescent="0.25">
      <c r="BL928">
        <v>1517</v>
      </c>
    </row>
    <row r="929" spans="64:64" x14ac:dyDescent="0.25">
      <c r="BL929">
        <v>1518</v>
      </c>
    </row>
    <row r="930" spans="64:64" x14ac:dyDescent="0.25">
      <c r="BL930">
        <v>1519</v>
      </c>
    </row>
    <row r="931" spans="64:64" x14ac:dyDescent="0.25">
      <c r="BL931">
        <v>1520</v>
      </c>
    </row>
    <row r="932" spans="64:64" x14ac:dyDescent="0.25">
      <c r="BL932">
        <v>1521</v>
      </c>
    </row>
    <row r="933" spans="64:64" x14ac:dyDescent="0.25">
      <c r="BL933">
        <v>1523</v>
      </c>
    </row>
    <row r="934" spans="64:64" x14ac:dyDescent="0.25">
      <c r="BL934">
        <v>1524</v>
      </c>
    </row>
    <row r="935" spans="64:64" x14ac:dyDescent="0.25">
      <c r="BL935">
        <v>1526</v>
      </c>
    </row>
    <row r="936" spans="64:64" x14ac:dyDescent="0.25">
      <c r="BL936">
        <v>1527</v>
      </c>
    </row>
    <row r="937" spans="64:64" x14ac:dyDescent="0.25">
      <c r="BL937">
        <v>1530</v>
      </c>
    </row>
    <row r="938" spans="64:64" x14ac:dyDescent="0.25">
      <c r="BL938">
        <v>1533</v>
      </c>
    </row>
    <row r="939" spans="64:64" x14ac:dyDescent="0.25">
      <c r="BL939">
        <v>1536</v>
      </c>
    </row>
    <row r="940" spans="64:64" x14ac:dyDescent="0.25">
      <c r="BL940">
        <v>1543</v>
      </c>
    </row>
    <row r="941" spans="64:64" x14ac:dyDescent="0.25">
      <c r="BL941">
        <v>1545</v>
      </c>
    </row>
    <row r="942" spans="64:64" x14ac:dyDescent="0.25">
      <c r="BL942">
        <v>1546</v>
      </c>
    </row>
  </sheetData>
  <sortState xmlns:xlrd2="http://schemas.microsoft.com/office/spreadsheetml/2017/richdata2" ref="BL3:BL576">
    <sortCondition ref="BL3"/>
  </sortState>
  <mergeCells count="21">
    <mergeCell ref="F46:H46"/>
    <mergeCell ref="F49:H49"/>
    <mergeCell ref="F52:H52"/>
    <mergeCell ref="F55:H55"/>
    <mergeCell ref="F31:H31"/>
    <mergeCell ref="F34:H34"/>
    <mergeCell ref="F37:H37"/>
    <mergeCell ref="F40:H40"/>
    <mergeCell ref="F43:H43"/>
    <mergeCell ref="F16:H16"/>
    <mergeCell ref="F19:H19"/>
    <mergeCell ref="F22:H22"/>
    <mergeCell ref="F25:H25"/>
    <mergeCell ref="F28:H28"/>
    <mergeCell ref="F7:H7"/>
    <mergeCell ref="F10:H10"/>
    <mergeCell ref="F58:H58"/>
    <mergeCell ref="F4:H4"/>
    <mergeCell ref="F13:H13"/>
    <mergeCell ref="J1:Z1"/>
    <mergeCell ref="AB1:BL1"/>
  </mergeCells>
  <phoneticPr fontId="1" type="noConversion"/>
  <pageMargins left="0.7" right="0.7" top="0.75" bottom="0.75" header="0.3" footer="0.3"/>
  <pageSetup orientation="portrait" r:id="rId1"/>
  <ignoredErrors>
    <ignoredError sqref="G56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Figueroa</dc:creator>
  <cp:lastModifiedBy>Joshua Figueroa</cp:lastModifiedBy>
  <cp:lastPrinted>2020-03-24T15:41:24Z</cp:lastPrinted>
  <dcterms:created xsi:type="dcterms:W3CDTF">2020-03-18T17:23:06Z</dcterms:created>
  <dcterms:modified xsi:type="dcterms:W3CDTF">2020-03-30T18:21:13Z</dcterms:modified>
</cp:coreProperties>
</file>