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ua Figueroa\Desktop\PH COVID-19 Tracker\"/>
    </mc:Choice>
  </mc:AlternateContent>
  <xr:revisionPtr revIDLastSave="0" documentId="13_ncr:1_{D0798AD5-46E4-4025-9B2D-36108A04F505}" xr6:coauthVersionLast="45" xr6:coauthVersionMax="45" xr10:uidLastSave="{00000000-0000-0000-0000-000000000000}"/>
  <bookViews>
    <workbookView xWindow="-120" yWindow="-120" windowWidth="20730" windowHeight="11160" xr2:uid="{442F2033-4A85-41F1-867D-FDC34FDA5152}"/>
  </bookViews>
  <sheets>
    <sheet name="Sheet1" sheetId="1" r:id="rId1"/>
  </sheets>
  <functionGroups builtInGroupCount="19"/>
  <definedNames>
    <definedName name="SUM">Sheet1!$F$2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4" i="1" l="1"/>
  <c r="B33" i="1"/>
  <c r="D34" i="1"/>
  <c r="C34" i="1"/>
  <c r="C33" i="1"/>
  <c r="F11" i="1" l="1"/>
  <c r="F8" i="1"/>
  <c r="B8" i="1"/>
  <c r="B9" i="1"/>
  <c r="B10" i="1"/>
  <c r="B11" i="1"/>
  <c r="B12" i="1"/>
  <c r="B13" i="1"/>
  <c r="B14" i="1"/>
  <c r="B15" i="1"/>
  <c r="B4" i="1"/>
  <c r="D26" i="1"/>
  <c r="D10" i="1"/>
  <c r="C4" i="1"/>
  <c r="D33" i="1"/>
  <c r="C16" i="1"/>
  <c r="C28" i="1"/>
  <c r="D12" i="1"/>
  <c r="D24" i="1"/>
  <c r="D22" i="1"/>
  <c r="C30" i="1"/>
  <c r="C24" i="1"/>
  <c r="D8" i="1"/>
  <c r="G8" i="1"/>
  <c r="D20" i="1"/>
  <c r="D25" i="1"/>
  <c r="D9" i="1"/>
  <c r="D30" i="1"/>
  <c r="D19" i="1"/>
  <c r="C29" i="1"/>
  <c r="H8" i="1"/>
  <c r="D15" i="1"/>
  <c r="D3" i="1"/>
  <c r="C7" i="1"/>
  <c r="D16" i="1"/>
  <c r="C13" i="1"/>
  <c r="C3" i="1"/>
  <c r="D23" i="1"/>
  <c r="D18" i="1"/>
  <c r="C15" i="1"/>
  <c r="C2" i="1"/>
  <c r="C27" i="1"/>
  <c r="D4" i="1"/>
  <c r="C18" i="1"/>
  <c r="D11" i="1"/>
  <c r="D14" i="1"/>
  <c r="C12" i="1"/>
  <c r="C25" i="1"/>
  <c r="D6" i="1"/>
  <c r="D32" i="1"/>
  <c r="D29" i="1"/>
  <c r="C8" i="1"/>
  <c r="C19" i="1"/>
  <c r="C21" i="1"/>
  <c r="D5" i="1"/>
  <c r="D21" i="1"/>
  <c r="C31" i="1"/>
  <c r="C10" i="1"/>
  <c r="D31" i="1"/>
  <c r="C17" i="1"/>
  <c r="C11" i="1"/>
  <c r="C14" i="1"/>
  <c r="C6" i="1"/>
  <c r="C23" i="1"/>
  <c r="D13" i="1"/>
  <c r="D17" i="1"/>
  <c r="D28" i="1"/>
  <c r="D7" i="1"/>
  <c r="C32" i="1"/>
  <c r="C26" i="1"/>
  <c r="C5" i="1"/>
  <c r="C9" i="1"/>
  <c r="C22" i="1"/>
  <c r="D27" i="1"/>
  <c r="C20" i="1"/>
  <c r="D2" i="1"/>
  <c r="H2" i="1" l="1"/>
  <c r="G2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7" i="1"/>
  <c r="B6" i="1"/>
  <c r="B5" i="1"/>
  <c r="B2" i="1"/>
  <c r="B3" i="1"/>
  <c r="H5" i="1"/>
  <c r="F5" i="1" l="1"/>
  <c r="F2" i="1"/>
  <c r="G5" i="1"/>
</calcChain>
</file>

<file path=xl/sharedStrings.xml><?xml version="1.0" encoding="utf-8"?>
<sst xmlns="http://schemas.openxmlformats.org/spreadsheetml/2006/main" count="87" uniqueCount="70">
  <si>
    <t>Residency</t>
  </si>
  <si>
    <t>Taguig</t>
  </si>
  <si>
    <t>Count</t>
  </si>
  <si>
    <t>Rizal</t>
  </si>
  <si>
    <t>Pasig</t>
  </si>
  <si>
    <t>marikina</t>
  </si>
  <si>
    <t>QC</t>
  </si>
  <si>
    <t>San Juan</t>
  </si>
  <si>
    <t>Manila</t>
  </si>
  <si>
    <t>Pasay</t>
  </si>
  <si>
    <t>makati</t>
  </si>
  <si>
    <t>Cavite</t>
  </si>
  <si>
    <t>Bulacan</t>
  </si>
  <si>
    <t>Negros Oriental</t>
  </si>
  <si>
    <t>Cam Sur</t>
  </si>
  <si>
    <t>lanao del sur</t>
  </si>
  <si>
    <t>mandaluyong</t>
  </si>
  <si>
    <t>Batangas</t>
  </si>
  <si>
    <t>pampanga</t>
  </si>
  <si>
    <t>bataan</t>
  </si>
  <si>
    <t>quezon</t>
  </si>
  <si>
    <t>laguna</t>
  </si>
  <si>
    <t>abra</t>
  </si>
  <si>
    <t>caloocan</t>
  </si>
  <si>
    <t>tarlac</t>
  </si>
  <si>
    <t>muntinlupa</t>
  </si>
  <si>
    <t>Foreign</t>
  </si>
  <si>
    <t>davao de oro</t>
  </si>
  <si>
    <t>Valenzuela</t>
  </si>
  <si>
    <t>Negros Occidental</t>
  </si>
  <si>
    <t>Iloilo</t>
  </si>
  <si>
    <t>Nueva Ecija</t>
  </si>
  <si>
    <t>For Validation</t>
  </si>
  <si>
    <t>Death</t>
  </si>
  <si>
    <t>Total Count</t>
  </si>
  <si>
    <t>Total Death</t>
  </si>
  <si>
    <t>Total Recoveries</t>
  </si>
  <si>
    <t>Recoveries</t>
  </si>
  <si>
    <t>MM Count</t>
  </si>
  <si>
    <t>MM Death</t>
  </si>
  <si>
    <t>MM Recoveries</t>
  </si>
  <si>
    <t>Marikina</t>
  </si>
  <si>
    <t>Makati</t>
  </si>
  <si>
    <t>Las Pinas</t>
  </si>
  <si>
    <t>Mandaluyong</t>
  </si>
  <si>
    <t>Paranaque</t>
  </si>
  <si>
    <t>Muntinlupa</t>
  </si>
  <si>
    <t>Malabon</t>
  </si>
  <si>
    <t>Pateros</t>
  </si>
  <si>
    <t>Caloocan</t>
  </si>
  <si>
    <t>Navotas</t>
  </si>
  <si>
    <t xml:space="preserve">Cavite </t>
  </si>
  <si>
    <t>Laguna</t>
  </si>
  <si>
    <t>Bataan</t>
  </si>
  <si>
    <t>Lanao del sur</t>
  </si>
  <si>
    <t>Abra</t>
  </si>
  <si>
    <t>Cam sur</t>
  </si>
  <si>
    <t>Davao de Oro</t>
  </si>
  <si>
    <t>Pampanga</t>
  </si>
  <si>
    <t>Tarlac</t>
  </si>
  <si>
    <t>Quezon</t>
  </si>
  <si>
    <t>paranaque</t>
  </si>
  <si>
    <t>Cotabato city</t>
  </si>
  <si>
    <t>Cotabato City</t>
  </si>
  <si>
    <t>Patient List of Metro Manila Residents</t>
  </si>
  <si>
    <t>Patients List Outside of Metro Manila Residents</t>
  </si>
  <si>
    <t>Foreign Count</t>
  </si>
  <si>
    <t>Foreign Death</t>
  </si>
  <si>
    <t>Foreign Recoveries</t>
  </si>
  <si>
    <t>Cebu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</si>
</sst>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6" borderId="0" xfId="0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C4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5AA71-33BA-44AE-8027-FC06F7E549FF}">
  <sheetPr codeName="Sheet2"/>
  <dimension ref="A1:AV303"/>
  <sheetViews>
    <sheetView tabSelected="1" topLeftCell="E1" workbookViewId="0">
      <selection activeCell="S18" sqref="S18"/>
    </sheetView>
  </sheetViews>
  <sheetFormatPr defaultRowHeight="15" x14ac:dyDescent="0.25"/>
  <cols>
    <col min="1" max="1" width="19.42578125" style="6" customWidth="1"/>
    <col min="4" max="4" width="11.85546875" customWidth="1"/>
    <col min="5" max="5" width="5.85546875" customWidth="1"/>
    <col min="6" max="6" width="15.5703125" customWidth="1"/>
    <col min="7" max="7" width="14" customWidth="1"/>
    <col min="8" max="8" width="18.85546875" customWidth="1"/>
    <col min="9" max="9" width="5.7109375" customWidth="1"/>
    <col min="10" max="10" width="8.7109375" customWidth="1"/>
    <col min="19" max="19" width="13.5703125" customWidth="1"/>
    <col min="20" max="20" width="12.140625" customWidth="1"/>
    <col min="21" max="21" width="12" customWidth="1"/>
    <col min="22" max="22" width="11.42578125" customWidth="1"/>
    <col min="23" max="23" width="11.7109375" customWidth="1"/>
    <col min="24" max="24" width="9.42578125" customWidth="1"/>
    <col min="31" max="31" width="16.5703125" customWidth="1"/>
    <col min="32" max="32" width="10.7109375" customWidth="1"/>
    <col min="35" max="35" width="13.140625" customWidth="1"/>
    <col min="36" max="36" width="11.85546875" customWidth="1"/>
    <col min="39" max="39" width="14.42578125" customWidth="1"/>
    <col min="40" max="40" width="13" customWidth="1"/>
    <col min="42" max="42" width="17.140625" customWidth="1"/>
    <col min="43" max="43" width="11.7109375" customWidth="1"/>
    <col min="48" max="48" width="17.5703125" customWidth="1"/>
  </cols>
  <sheetData>
    <row r="1" spans="1:48" x14ac:dyDescent="0.25">
      <c r="A1" s="5" t="s">
        <v>0</v>
      </c>
      <c r="B1" s="1" t="s">
        <v>2</v>
      </c>
      <c r="C1" s="2" t="s">
        <v>33</v>
      </c>
      <c r="D1" s="3" t="s">
        <v>37</v>
      </c>
      <c r="E1" s="4"/>
      <c r="F1" s="1" t="s">
        <v>34</v>
      </c>
      <c r="G1" s="2" t="s">
        <v>35</v>
      </c>
      <c r="H1" s="3" t="s">
        <v>36</v>
      </c>
      <c r="J1" s="10" t="s">
        <v>64</v>
      </c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B1" s="10" t="s">
        <v>65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</row>
    <row r="2" spans="1:48" x14ac:dyDescent="0.25">
      <c r="A2" s="6" t="s">
        <v>1</v>
      </c>
      <c r="B2">
        <f>COUNT(J3:J98)</f>
        <v>7</v>
      </c>
      <c r="C2">
        <f ca="1">CountCellsByColor(J3:J98, C1)</f>
        <v>0</v>
      </c>
      <c r="D2">
        <f ca="1">CountCellsByColor(J3:J98, D1)</f>
        <v>0</v>
      </c>
      <c r="F2">
        <f>SUM(B2:B38, F8, F11)</f>
        <v>552</v>
      </c>
      <c r="G2">
        <f ca="1">SUM(C2:C32, G8)</f>
        <v>35</v>
      </c>
      <c r="H2">
        <f ca="1">SUM(D2:D32, H8)</f>
        <v>20</v>
      </c>
      <c r="J2" s="7" t="s">
        <v>1</v>
      </c>
      <c r="K2" s="7" t="s">
        <v>4</v>
      </c>
      <c r="L2" s="7" t="s">
        <v>41</v>
      </c>
      <c r="M2" s="7" t="s">
        <v>6</v>
      </c>
      <c r="N2" s="7" t="s">
        <v>7</v>
      </c>
      <c r="O2" s="7" t="s">
        <v>8</v>
      </c>
      <c r="P2" s="7" t="s">
        <v>9</v>
      </c>
      <c r="Q2" s="7" t="s">
        <v>42</v>
      </c>
      <c r="R2" s="7" t="s">
        <v>43</v>
      </c>
      <c r="S2" s="7" t="s">
        <v>44</v>
      </c>
      <c r="T2" s="7" t="s">
        <v>45</v>
      </c>
      <c r="U2" s="7" t="s">
        <v>46</v>
      </c>
      <c r="V2" s="7" t="s">
        <v>47</v>
      </c>
      <c r="W2" s="7" t="s">
        <v>28</v>
      </c>
      <c r="X2" s="7" t="s">
        <v>48</v>
      </c>
      <c r="Y2" s="7" t="s">
        <v>49</v>
      </c>
      <c r="Z2" s="7" t="s">
        <v>50</v>
      </c>
      <c r="AB2" s="7" t="s">
        <v>3</v>
      </c>
      <c r="AC2" s="7" t="s">
        <v>51</v>
      </c>
      <c r="AD2" s="7" t="s">
        <v>12</v>
      </c>
      <c r="AE2" s="7" t="s">
        <v>13</v>
      </c>
      <c r="AF2" s="7" t="s">
        <v>17</v>
      </c>
      <c r="AG2" s="7" t="s">
        <v>52</v>
      </c>
      <c r="AH2" s="7" t="s">
        <v>53</v>
      </c>
      <c r="AI2" s="7" t="s">
        <v>54</v>
      </c>
      <c r="AJ2" s="7" t="s">
        <v>31</v>
      </c>
      <c r="AK2" s="7" t="s">
        <v>55</v>
      </c>
      <c r="AL2" s="7" t="s">
        <v>56</v>
      </c>
      <c r="AM2" s="7" t="s">
        <v>63</v>
      </c>
      <c r="AN2" s="7" t="s">
        <v>57</v>
      </c>
      <c r="AO2" s="7" t="s">
        <v>30</v>
      </c>
      <c r="AP2" s="7" t="s">
        <v>29</v>
      </c>
      <c r="AQ2" s="7" t="s">
        <v>58</v>
      </c>
      <c r="AR2" s="7" t="s">
        <v>59</v>
      </c>
      <c r="AS2" s="7" t="s">
        <v>60</v>
      </c>
      <c r="AT2" s="7" t="s">
        <v>69</v>
      </c>
      <c r="AU2" s="7" t="s">
        <v>26</v>
      </c>
      <c r="AV2" s="7" t="s">
        <v>32</v>
      </c>
    </row>
    <row r="3" spans="1:48" x14ac:dyDescent="0.25">
      <c r="A3" s="6" t="s">
        <v>3</v>
      </c>
      <c r="B3">
        <f>COUNT(AB3:AB98)</f>
        <v>12</v>
      </c>
      <c r="C3">
        <f ca="1">CountCellsByColor(AB3:AB98, C1)</f>
        <v>3</v>
      </c>
      <c r="D3">
        <f ca="1">CountCellsByColor(AB3:AB98, D1)</f>
        <v>1</v>
      </c>
      <c r="J3">
        <v>4</v>
      </c>
      <c r="K3">
        <v>8</v>
      </c>
      <c r="L3" s="8">
        <v>9</v>
      </c>
      <c r="M3">
        <v>10</v>
      </c>
      <c r="N3">
        <v>11</v>
      </c>
      <c r="O3" s="8">
        <v>12</v>
      </c>
      <c r="P3" s="9">
        <v>14</v>
      </c>
      <c r="Q3" s="9">
        <v>7</v>
      </c>
      <c r="R3">
        <v>36</v>
      </c>
      <c r="S3">
        <v>47</v>
      </c>
      <c r="T3">
        <v>56</v>
      </c>
      <c r="U3">
        <v>151</v>
      </c>
      <c r="W3">
        <v>211</v>
      </c>
      <c r="Y3">
        <v>46</v>
      </c>
      <c r="AB3" s="8">
        <v>5</v>
      </c>
      <c r="AC3" s="9">
        <v>20</v>
      </c>
      <c r="AD3">
        <v>21</v>
      </c>
      <c r="AE3" s="9">
        <v>25</v>
      </c>
      <c r="AF3" s="9">
        <v>49</v>
      </c>
      <c r="AG3">
        <v>59</v>
      </c>
      <c r="AH3">
        <v>64</v>
      </c>
      <c r="AI3" s="8">
        <v>40</v>
      </c>
      <c r="AJ3">
        <v>285</v>
      </c>
      <c r="AK3">
        <v>96</v>
      </c>
      <c r="AL3" s="9">
        <v>26</v>
      </c>
      <c r="AM3">
        <v>145</v>
      </c>
      <c r="AN3" s="9">
        <v>130</v>
      </c>
      <c r="AO3">
        <v>284</v>
      </c>
      <c r="AP3">
        <v>267</v>
      </c>
      <c r="AQ3">
        <v>63</v>
      </c>
      <c r="AR3">
        <v>122</v>
      </c>
      <c r="AS3">
        <v>70</v>
      </c>
      <c r="AT3">
        <v>188</v>
      </c>
      <c r="AU3" s="9">
        <v>1</v>
      </c>
    </row>
    <row r="4" spans="1:48" x14ac:dyDescent="0.25">
      <c r="A4" s="6" t="s">
        <v>4</v>
      </c>
      <c r="B4">
        <f>COUNT(K3:K98)</f>
        <v>21</v>
      </c>
      <c r="C4">
        <f ca="1">CountCellsByColor(K3:K98, C1)</f>
        <v>2</v>
      </c>
      <c r="D4">
        <f ca="1">CountCellsByColor(K3:K98, D1)</f>
        <v>0</v>
      </c>
      <c r="F4" s="1" t="s">
        <v>38</v>
      </c>
      <c r="G4" s="2" t="s">
        <v>39</v>
      </c>
      <c r="H4" s="3" t="s">
        <v>40</v>
      </c>
      <c r="J4">
        <v>84</v>
      </c>
      <c r="K4">
        <v>18</v>
      </c>
      <c r="L4">
        <v>27</v>
      </c>
      <c r="M4" s="9">
        <v>13</v>
      </c>
      <c r="N4" s="9">
        <v>16</v>
      </c>
      <c r="O4">
        <v>67</v>
      </c>
      <c r="P4">
        <v>83</v>
      </c>
      <c r="Q4" s="9">
        <v>15</v>
      </c>
      <c r="R4">
        <v>138</v>
      </c>
      <c r="S4">
        <v>53</v>
      </c>
      <c r="T4">
        <v>85</v>
      </c>
      <c r="U4">
        <v>154</v>
      </c>
      <c r="W4">
        <v>330</v>
      </c>
      <c r="Y4">
        <v>103</v>
      </c>
      <c r="AB4" s="8">
        <v>6</v>
      </c>
      <c r="AC4">
        <v>81</v>
      </c>
      <c r="AD4" s="8">
        <v>57</v>
      </c>
      <c r="AE4" s="8">
        <v>39</v>
      </c>
      <c r="AF4" s="8">
        <v>52</v>
      </c>
      <c r="AG4">
        <v>72</v>
      </c>
      <c r="AH4">
        <v>303</v>
      </c>
      <c r="AI4" s="8">
        <v>201</v>
      </c>
      <c r="AJ4">
        <v>286</v>
      </c>
      <c r="AQ4" s="8">
        <v>89</v>
      </c>
      <c r="AU4" s="8">
        <v>2</v>
      </c>
    </row>
    <row r="5" spans="1:48" x14ac:dyDescent="0.25">
      <c r="A5" s="6" t="s">
        <v>5</v>
      </c>
      <c r="B5">
        <f>COUNT(L3:L98)</f>
        <v>7</v>
      </c>
      <c r="C5">
        <f ca="1">CountCellsByColor(L3:L98, C1)</f>
        <v>1</v>
      </c>
      <c r="D5">
        <f ca="1">CountCellsByColor(L3:L98, D1)</f>
        <v>0</v>
      </c>
      <c r="F5">
        <f>SUM(B2,B4:B10,B15,B17,B25,B19,B28, B30)</f>
        <v>211</v>
      </c>
      <c r="G5">
        <f ca="1">SUM(C2,C4:C10,C15,C17,C25,C19,C28, C30)</f>
        <v>23</v>
      </c>
      <c r="H5">
        <f ca="1">SUM(D2,D4:D10,D15,D17,D25,D19,D28, D30)</f>
        <v>12</v>
      </c>
      <c r="J5">
        <v>108</v>
      </c>
      <c r="K5">
        <v>19</v>
      </c>
      <c r="L5">
        <v>28</v>
      </c>
      <c r="M5">
        <v>24</v>
      </c>
      <c r="N5" s="9">
        <v>17</v>
      </c>
      <c r="O5" s="9">
        <v>73</v>
      </c>
      <c r="Q5">
        <v>33</v>
      </c>
      <c r="R5">
        <v>157</v>
      </c>
      <c r="S5">
        <v>69</v>
      </c>
      <c r="T5">
        <v>119</v>
      </c>
      <c r="U5">
        <v>156</v>
      </c>
      <c r="Y5">
        <v>104</v>
      </c>
      <c r="AB5">
        <v>38</v>
      </c>
      <c r="AC5">
        <v>136</v>
      </c>
      <c r="AD5">
        <v>99</v>
      </c>
      <c r="AF5">
        <v>95</v>
      </c>
      <c r="AG5">
        <v>327</v>
      </c>
      <c r="AU5" s="9">
        <v>3</v>
      </c>
      <c r="AV5">
        <v>159</v>
      </c>
    </row>
    <row r="6" spans="1:48" x14ac:dyDescent="0.25">
      <c r="A6" s="6" t="s">
        <v>6</v>
      </c>
      <c r="B6">
        <f>COUNT(M3:M98)</f>
        <v>64</v>
      </c>
      <c r="C6">
        <f ca="1">CountCellsByColor(M3:M98, C1)</f>
        <v>9</v>
      </c>
      <c r="D6">
        <f ca="1">CountCellsByColor(M3:M98, D1)</f>
        <v>4</v>
      </c>
      <c r="J6">
        <v>110</v>
      </c>
      <c r="K6" s="8">
        <v>37</v>
      </c>
      <c r="L6">
        <v>29</v>
      </c>
      <c r="M6">
        <v>45</v>
      </c>
      <c r="N6" s="9">
        <v>22</v>
      </c>
      <c r="O6">
        <v>78</v>
      </c>
      <c r="Q6">
        <v>34</v>
      </c>
      <c r="R6">
        <v>158</v>
      </c>
      <c r="S6">
        <v>97</v>
      </c>
      <c r="T6">
        <v>127</v>
      </c>
      <c r="Y6">
        <v>114</v>
      </c>
      <c r="AB6" s="9">
        <v>62</v>
      </c>
      <c r="AC6">
        <v>139</v>
      </c>
      <c r="AD6">
        <v>113</v>
      </c>
      <c r="AF6">
        <v>183</v>
      </c>
      <c r="AV6">
        <v>174</v>
      </c>
    </row>
    <row r="7" spans="1:48" x14ac:dyDescent="0.25">
      <c r="A7" s="6" t="s">
        <v>7</v>
      </c>
      <c r="B7">
        <f>COUNT(N3:N98)</f>
        <v>31</v>
      </c>
      <c r="C7">
        <f ca="1">CountCellsByColor(N3:N98, C1)</f>
        <v>5</v>
      </c>
      <c r="D7">
        <f ca="1">CountCellsByColor(N3:N98, D1)</f>
        <v>3</v>
      </c>
      <c r="F7" s="1" t="s">
        <v>66</v>
      </c>
      <c r="G7" s="2" t="s">
        <v>67</v>
      </c>
      <c r="H7" s="3" t="s">
        <v>68</v>
      </c>
      <c r="J7">
        <v>150</v>
      </c>
      <c r="K7">
        <v>42</v>
      </c>
      <c r="L7">
        <v>30</v>
      </c>
      <c r="M7">
        <v>50</v>
      </c>
      <c r="N7">
        <v>23</v>
      </c>
      <c r="O7">
        <v>121</v>
      </c>
      <c r="Q7" s="8">
        <v>35</v>
      </c>
      <c r="R7">
        <v>196</v>
      </c>
      <c r="S7">
        <v>105</v>
      </c>
      <c r="T7">
        <v>140</v>
      </c>
      <c r="Y7">
        <v>175</v>
      </c>
      <c r="AB7">
        <v>77</v>
      </c>
      <c r="AC7">
        <v>155</v>
      </c>
      <c r="AD7">
        <v>116</v>
      </c>
      <c r="AF7">
        <v>240</v>
      </c>
    </row>
    <row r="8" spans="1:48" x14ac:dyDescent="0.25">
      <c r="A8" s="6" t="s">
        <v>8</v>
      </c>
      <c r="B8">
        <f>COUNT(O3:O98)</f>
        <v>15</v>
      </c>
      <c r="C8">
        <f ca="1">CountCellsByColor(O3:O98, C1)</f>
        <v>1</v>
      </c>
      <c r="D8">
        <f ca="1">CountCellsByColor(O3:O98, D1)</f>
        <v>1</v>
      </c>
      <c r="F8">
        <f>COUNT(AU3:AU100)</f>
        <v>3</v>
      </c>
      <c r="G8">
        <f ca="1">CountCellsByColor(AU3:AU98, C1)</f>
        <v>1</v>
      </c>
      <c r="H8">
        <f ca="1">CountCellsByColor(AU3:AU98, D1)</f>
        <v>2</v>
      </c>
      <c r="J8">
        <v>179</v>
      </c>
      <c r="K8" s="8">
        <v>54</v>
      </c>
      <c r="L8">
        <v>128</v>
      </c>
      <c r="M8" s="9">
        <v>51</v>
      </c>
      <c r="N8">
        <v>31</v>
      </c>
      <c r="O8">
        <v>123</v>
      </c>
      <c r="Q8" s="9">
        <v>41</v>
      </c>
      <c r="S8">
        <v>131</v>
      </c>
      <c r="T8">
        <v>141</v>
      </c>
      <c r="Y8">
        <v>187</v>
      </c>
      <c r="AB8" s="8">
        <v>126</v>
      </c>
      <c r="AC8">
        <v>202</v>
      </c>
      <c r="AD8">
        <v>152</v>
      </c>
      <c r="AF8">
        <v>355</v>
      </c>
    </row>
    <row r="9" spans="1:48" x14ac:dyDescent="0.25">
      <c r="A9" s="6" t="s">
        <v>9</v>
      </c>
      <c r="B9">
        <f>COUNT(P3:P98)</f>
        <v>2</v>
      </c>
      <c r="C9">
        <f ca="1">CountCellsByColor(P3:P98, C1)</f>
        <v>0</v>
      </c>
      <c r="D9">
        <f ca="1">CountCellsByColor(P3:P98, D1)</f>
        <v>1</v>
      </c>
      <c r="J9">
        <v>251</v>
      </c>
      <c r="K9">
        <v>66</v>
      </c>
      <c r="L9">
        <v>222</v>
      </c>
      <c r="M9">
        <v>55</v>
      </c>
      <c r="N9">
        <v>32</v>
      </c>
      <c r="O9">
        <v>125</v>
      </c>
      <c r="Q9">
        <v>43</v>
      </c>
      <c r="S9">
        <v>147</v>
      </c>
      <c r="T9">
        <v>153</v>
      </c>
      <c r="Y9">
        <v>248</v>
      </c>
      <c r="AB9">
        <v>137</v>
      </c>
      <c r="AC9">
        <v>231</v>
      </c>
      <c r="AD9" s="8">
        <v>304</v>
      </c>
      <c r="AF9">
        <v>368</v>
      </c>
    </row>
    <row r="10" spans="1:48" x14ac:dyDescent="0.25">
      <c r="A10" s="6" t="s">
        <v>10</v>
      </c>
      <c r="B10">
        <f>COUNT(Q3:Q98)</f>
        <v>22</v>
      </c>
      <c r="C10">
        <f ca="1">CountCellsByColor(Q3:Q98, C1)</f>
        <v>2</v>
      </c>
      <c r="D10">
        <f ca="1">CountCellsByColor(Q3:Q98, D1)</f>
        <v>3</v>
      </c>
      <c r="F10" s="7" t="s">
        <v>32</v>
      </c>
      <c r="K10">
        <v>75</v>
      </c>
      <c r="M10">
        <v>68</v>
      </c>
      <c r="N10">
        <v>48</v>
      </c>
      <c r="O10">
        <v>161</v>
      </c>
      <c r="Q10">
        <v>44</v>
      </c>
      <c r="S10">
        <v>189</v>
      </c>
      <c r="T10">
        <v>182</v>
      </c>
      <c r="AB10">
        <v>171</v>
      </c>
      <c r="AC10" s="8">
        <v>239</v>
      </c>
      <c r="AD10">
        <v>329</v>
      </c>
      <c r="AF10">
        <v>94</v>
      </c>
    </row>
    <row r="11" spans="1:48" x14ac:dyDescent="0.25">
      <c r="A11" s="6" t="s">
        <v>11</v>
      </c>
      <c r="B11">
        <f>COUNT(AC3:AC98)</f>
        <v>9</v>
      </c>
      <c r="C11">
        <f ca="1">CountCellsByColor(AC3:AC98, C1)</f>
        <v>1</v>
      </c>
      <c r="D11">
        <f ca="1">CountCellsByColor(AC3:AC98, D1)</f>
        <v>1</v>
      </c>
      <c r="F11">
        <f>COUNT(AV3:AV500)</f>
        <v>279</v>
      </c>
      <c r="K11">
        <v>106</v>
      </c>
      <c r="M11">
        <v>74</v>
      </c>
      <c r="N11">
        <v>61</v>
      </c>
      <c r="O11">
        <v>165</v>
      </c>
      <c r="Q11">
        <v>58</v>
      </c>
      <c r="S11">
        <v>242</v>
      </c>
      <c r="T11" s="8">
        <v>349</v>
      </c>
      <c r="AB11">
        <v>172</v>
      </c>
      <c r="AC11">
        <v>177</v>
      </c>
    </row>
    <row r="12" spans="1:48" x14ac:dyDescent="0.25">
      <c r="A12" s="6" t="s">
        <v>12</v>
      </c>
      <c r="B12">
        <f>COUNT(AD3:AD99)</f>
        <v>8</v>
      </c>
      <c r="C12">
        <f ca="1">CountCellsByColor(AD3:AD98, C1)</f>
        <v>2</v>
      </c>
      <c r="D12">
        <f ca="1">CountCellsByColor(AD3:AD98, D1)</f>
        <v>0</v>
      </c>
      <c r="K12">
        <v>109</v>
      </c>
      <c r="M12">
        <v>82</v>
      </c>
      <c r="N12">
        <v>65</v>
      </c>
      <c r="O12">
        <v>166</v>
      </c>
      <c r="Q12">
        <v>60</v>
      </c>
      <c r="S12">
        <v>252</v>
      </c>
      <c r="T12" s="8">
        <v>367</v>
      </c>
      <c r="AB12">
        <v>203</v>
      </c>
      <c r="AV12">
        <v>193</v>
      </c>
    </row>
    <row r="13" spans="1:48" x14ac:dyDescent="0.25">
      <c r="A13" s="6" t="s">
        <v>13</v>
      </c>
      <c r="B13">
        <f>COUNT(AE3:AE100)</f>
        <v>2</v>
      </c>
      <c r="C13">
        <f ca="1">CountCellsByColor(AE3:AE98, C1)</f>
        <v>1</v>
      </c>
      <c r="D13">
        <f ca="1">CountCellsByColor(AE3:AE98, D1)</f>
        <v>1</v>
      </c>
      <c r="K13">
        <v>111</v>
      </c>
      <c r="M13">
        <v>86</v>
      </c>
      <c r="N13">
        <v>71</v>
      </c>
      <c r="O13">
        <v>178</v>
      </c>
      <c r="Q13" s="8">
        <v>79</v>
      </c>
      <c r="S13">
        <v>254</v>
      </c>
      <c r="AB13">
        <v>207</v>
      </c>
    </row>
    <row r="14" spans="1:48" x14ac:dyDescent="0.25">
      <c r="A14" s="6" t="s">
        <v>14</v>
      </c>
      <c r="B14">
        <f>COUNT(AL3:AL101)</f>
        <v>1</v>
      </c>
      <c r="C14">
        <f ca="1">CountCellsByColor(AL3:AL98, C1)</f>
        <v>0</v>
      </c>
      <c r="D14">
        <f ca="1">CountCellsByColor(AL3:AL98, D1)</f>
        <v>1</v>
      </c>
      <c r="K14">
        <v>185</v>
      </c>
      <c r="M14" s="9">
        <v>87</v>
      </c>
      <c r="N14">
        <v>76</v>
      </c>
      <c r="O14">
        <v>181</v>
      </c>
      <c r="Q14">
        <v>92</v>
      </c>
      <c r="S14">
        <v>324</v>
      </c>
      <c r="AB14">
        <v>321</v>
      </c>
    </row>
    <row r="15" spans="1:48" x14ac:dyDescent="0.25">
      <c r="A15" s="6" t="s">
        <v>43</v>
      </c>
      <c r="B15">
        <f>COUNT(R3:R102)</f>
        <v>5</v>
      </c>
      <c r="C15">
        <f ca="1">CountCellsByColor(R3:R98, C1)</f>
        <v>0</v>
      </c>
      <c r="D15">
        <f ca="1">CountCellsByColor(R3:R98, D1)</f>
        <v>0</v>
      </c>
      <c r="K15">
        <v>198</v>
      </c>
      <c r="M15">
        <v>91</v>
      </c>
      <c r="N15">
        <v>80</v>
      </c>
      <c r="O15">
        <v>213</v>
      </c>
      <c r="Q15">
        <v>102</v>
      </c>
      <c r="S15" s="8">
        <v>281</v>
      </c>
    </row>
    <row r="16" spans="1:48" x14ac:dyDescent="0.25">
      <c r="A16" s="6" t="s">
        <v>15</v>
      </c>
      <c r="B16">
        <f>COUNT(AI3:AI103)</f>
        <v>2</v>
      </c>
      <c r="C16">
        <f ca="1">CountCellsByColor(AI3:AI98, C1)</f>
        <v>2</v>
      </c>
      <c r="D16">
        <f ca="1">CountCellsByColor(AI3:AI98, D1)</f>
        <v>0</v>
      </c>
      <c r="K16">
        <v>199</v>
      </c>
      <c r="M16">
        <v>93</v>
      </c>
      <c r="N16">
        <v>88</v>
      </c>
      <c r="O16">
        <v>186</v>
      </c>
      <c r="Q16">
        <v>112</v>
      </c>
      <c r="S16">
        <v>218</v>
      </c>
    </row>
    <row r="17" spans="1:48" x14ac:dyDescent="0.25">
      <c r="A17" s="6" t="s">
        <v>16</v>
      </c>
      <c r="B17">
        <f>COUNT(S3:S104)</f>
        <v>15</v>
      </c>
      <c r="C17">
        <f ca="1">CountCellsByColor(S3:S98, C1)</f>
        <v>1</v>
      </c>
      <c r="D17">
        <f ca="1">CountCellsByColor(S3:S98, D1)</f>
        <v>0</v>
      </c>
      <c r="K17">
        <v>206</v>
      </c>
      <c r="M17">
        <v>100</v>
      </c>
      <c r="N17">
        <v>90</v>
      </c>
      <c r="O17">
        <v>225</v>
      </c>
      <c r="Q17">
        <v>132</v>
      </c>
      <c r="S17">
        <v>230</v>
      </c>
    </row>
    <row r="18" spans="1:48" x14ac:dyDescent="0.25">
      <c r="A18" s="6" t="s">
        <v>17</v>
      </c>
      <c r="B18">
        <f>COUNT(AF3:AF105)</f>
        <v>8</v>
      </c>
      <c r="C18">
        <f ca="1">CountCellsByColor(AF3:AF98, C1)</f>
        <v>1</v>
      </c>
      <c r="D18">
        <f ca="1">CountCellsByColor(AF3:AF98, D1)</f>
        <v>1</v>
      </c>
      <c r="K18">
        <v>217</v>
      </c>
      <c r="M18">
        <v>101</v>
      </c>
      <c r="N18">
        <v>98</v>
      </c>
      <c r="Q18">
        <v>149</v>
      </c>
    </row>
    <row r="19" spans="1:48" x14ac:dyDescent="0.25">
      <c r="A19" s="6" t="s">
        <v>61</v>
      </c>
      <c r="B19">
        <f>COUNT(T3:T106)</f>
        <v>10</v>
      </c>
      <c r="C19">
        <f ca="1">CountCellsByColor(T3:T98, C1)</f>
        <v>2</v>
      </c>
      <c r="D19">
        <f ca="1">CountCellsByColor(T3:T98, D1)</f>
        <v>0</v>
      </c>
      <c r="K19">
        <v>219</v>
      </c>
      <c r="M19">
        <v>107</v>
      </c>
      <c r="N19">
        <v>133</v>
      </c>
      <c r="Q19">
        <v>164</v>
      </c>
    </row>
    <row r="20" spans="1:48" x14ac:dyDescent="0.25">
      <c r="A20" s="6" t="s">
        <v>18</v>
      </c>
      <c r="B20">
        <f>COUNT(AQ3:AQ107)</f>
        <v>2</v>
      </c>
      <c r="C20">
        <f ca="1">CountCellsByColor(AQ3:AQ98, C1)</f>
        <v>1</v>
      </c>
      <c r="D20">
        <f ca="1">CountCellsByColor(AQ3:AQ98, D1)</f>
        <v>0</v>
      </c>
      <c r="K20">
        <v>259</v>
      </c>
      <c r="M20">
        <v>115</v>
      </c>
      <c r="N20">
        <v>144</v>
      </c>
      <c r="Q20">
        <v>173</v>
      </c>
    </row>
    <row r="21" spans="1:48" x14ac:dyDescent="0.25">
      <c r="A21" s="6" t="s">
        <v>19</v>
      </c>
      <c r="B21">
        <f>COUNT(AH3:AH108)</f>
        <v>2</v>
      </c>
      <c r="C21">
        <f ca="1">CountCellsByColor(AH3:AH98, C1)</f>
        <v>0</v>
      </c>
      <c r="D21">
        <f ca="1">CountCellsByColor(AH3:AH98, D1)</f>
        <v>0</v>
      </c>
      <c r="K21">
        <v>260</v>
      </c>
      <c r="M21">
        <v>117</v>
      </c>
      <c r="N21">
        <v>148</v>
      </c>
      <c r="Q21">
        <v>241</v>
      </c>
      <c r="AV21">
        <v>232</v>
      </c>
    </row>
    <row r="22" spans="1:48" x14ac:dyDescent="0.25">
      <c r="A22" s="6" t="s">
        <v>20</v>
      </c>
      <c r="B22">
        <f>COUNT(AS3:AS109)</f>
        <v>1</v>
      </c>
      <c r="C22">
        <f ca="1">CountCellsByColor(AS3:AS98, C1)</f>
        <v>0</v>
      </c>
      <c r="D22">
        <f ca="1">CountCellsByColor(AS3:AS98, D1)</f>
        <v>0</v>
      </c>
      <c r="K22">
        <v>184</v>
      </c>
      <c r="M22">
        <v>118</v>
      </c>
      <c r="N22" s="8">
        <v>160</v>
      </c>
      <c r="Q22">
        <v>253</v>
      </c>
      <c r="AV22">
        <v>233</v>
      </c>
    </row>
    <row r="23" spans="1:48" x14ac:dyDescent="0.25">
      <c r="A23" s="6" t="s">
        <v>21</v>
      </c>
      <c r="B23">
        <f>COUNT(AG3:AG100)</f>
        <v>3</v>
      </c>
      <c r="C23">
        <f ca="1">CountCellsByColor(AG3:AG98, C1)</f>
        <v>0</v>
      </c>
      <c r="D23">
        <f ca="1">CountCellsByColor(AG3:AG98, D1)</f>
        <v>0</v>
      </c>
      <c r="K23">
        <v>220</v>
      </c>
      <c r="M23">
        <v>120</v>
      </c>
      <c r="N23">
        <v>190</v>
      </c>
      <c r="Q23">
        <v>142</v>
      </c>
      <c r="AV23">
        <v>235</v>
      </c>
    </row>
    <row r="24" spans="1:48" x14ac:dyDescent="0.25">
      <c r="A24" s="6" t="s">
        <v>22</v>
      </c>
      <c r="B24">
        <f>COUNT(AK3:AK100)</f>
        <v>1</v>
      </c>
      <c r="C24">
        <f ca="1">CountCellsByColor(AK3:AK98, C1)</f>
        <v>0</v>
      </c>
      <c r="D24">
        <f ca="1">CountCellsByColor(AK3:AK98, D1)</f>
        <v>0</v>
      </c>
      <c r="M24" s="8">
        <v>124</v>
      </c>
      <c r="N24">
        <v>191</v>
      </c>
      <c r="Q24">
        <v>204</v>
      </c>
      <c r="AV24">
        <v>238</v>
      </c>
    </row>
    <row r="25" spans="1:48" x14ac:dyDescent="0.25">
      <c r="A25" s="6" t="s">
        <v>23</v>
      </c>
      <c r="B25">
        <f>COUNT(Y3:Y100)</f>
        <v>7</v>
      </c>
      <c r="C25">
        <f ca="1">CountCellsByColor(Y3:Y98, C1)</f>
        <v>0</v>
      </c>
      <c r="D25">
        <f ca="1">CountCellsByColor(Y3:Y98, D1)</f>
        <v>0</v>
      </c>
      <c r="M25" s="8">
        <v>129</v>
      </c>
      <c r="N25">
        <v>192</v>
      </c>
    </row>
    <row r="26" spans="1:48" x14ac:dyDescent="0.25">
      <c r="A26" s="6" t="s">
        <v>24</v>
      </c>
      <c r="B26">
        <f>COUNT(AR3:AR100)</f>
        <v>1</v>
      </c>
      <c r="C26">
        <f ca="1">CountCellsByColor(AR3:AR98, C1)</f>
        <v>0</v>
      </c>
      <c r="D26">
        <f ca="1">CountCellsByColor(AR3:AR98, D1)</f>
        <v>0</v>
      </c>
      <c r="M26">
        <v>134</v>
      </c>
      <c r="N26">
        <v>195</v>
      </c>
      <c r="AV26">
        <v>243</v>
      </c>
    </row>
    <row r="27" spans="1:48" x14ac:dyDescent="0.25">
      <c r="A27" s="6" t="s">
        <v>27</v>
      </c>
      <c r="B27">
        <f>COUNT(AN3:AN114)</f>
        <v>1</v>
      </c>
      <c r="C27">
        <f ca="1">CountCellsByColor(AN3:AN98, C1)</f>
        <v>0</v>
      </c>
      <c r="D27">
        <f ca="1">CountCellsByColor(AN3:AN98, D1)</f>
        <v>1</v>
      </c>
      <c r="M27">
        <v>135</v>
      </c>
      <c r="N27">
        <v>197</v>
      </c>
      <c r="AV27">
        <v>244</v>
      </c>
    </row>
    <row r="28" spans="1:48" x14ac:dyDescent="0.25">
      <c r="A28" s="6" t="s">
        <v>25</v>
      </c>
      <c r="B28">
        <f>COUNT(U3:U100)</f>
        <v>3</v>
      </c>
      <c r="C28">
        <f ca="1">CountCellsByColor(U3:U98, C1)</f>
        <v>0</v>
      </c>
      <c r="D28">
        <f ca="1">CountCellsByColor(U3:U98, D1)</f>
        <v>0</v>
      </c>
      <c r="M28" s="9">
        <v>143</v>
      </c>
      <c r="N28" s="8">
        <v>205</v>
      </c>
      <c r="AV28">
        <v>245</v>
      </c>
    </row>
    <row r="29" spans="1:48" x14ac:dyDescent="0.25">
      <c r="A29" s="6" t="s">
        <v>62</v>
      </c>
      <c r="B29">
        <f>COUNT(AM3:AM100)</f>
        <v>1</v>
      </c>
      <c r="C29">
        <f ca="1">CountCellsByColor(AM3:AM98, C1)</f>
        <v>0</v>
      </c>
      <c r="D29">
        <f ca="1">CountCellsByColor(AM3:AM98, D1)</f>
        <v>0</v>
      </c>
      <c r="M29">
        <v>146</v>
      </c>
      <c r="N29">
        <v>209</v>
      </c>
      <c r="AV29">
        <v>246</v>
      </c>
    </row>
    <row r="30" spans="1:48" x14ac:dyDescent="0.25">
      <c r="A30" s="6" t="s">
        <v>28</v>
      </c>
      <c r="B30">
        <f>COUNT(W3:W100)</f>
        <v>2</v>
      </c>
      <c r="C30">
        <f ca="1">CountCellsByColor(W3:W98, C1)</f>
        <v>0</v>
      </c>
      <c r="D30">
        <f ca="1">CountCellsByColor(W3:W98, D1)</f>
        <v>0</v>
      </c>
      <c r="M30">
        <v>162</v>
      </c>
      <c r="N30" s="8">
        <v>210</v>
      </c>
      <c r="AV30">
        <v>247</v>
      </c>
    </row>
    <row r="31" spans="1:48" x14ac:dyDescent="0.25">
      <c r="A31" s="6" t="s">
        <v>29</v>
      </c>
      <c r="B31">
        <f>COUNT(AP3:AP100)</f>
        <v>1</v>
      </c>
      <c r="C31">
        <f ca="1">CountCellsByColor(AP3:AP98, C1)</f>
        <v>0</v>
      </c>
      <c r="D31">
        <f ca="1">CountCellsByColor(AP3:AP98, D1)</f>
        <v>0</v>
      </c>
      <c r="M31">
        <v>163</v>
      </c>
      <c r="N31" s="8">
        <v>351</v>
      </c>
      <c r="AV31">
        <v>249</v>
      </c>
    </row>
    <row r="32" spans="1:48" x14ac:dyDescent="0.25">
      <c r="A32" s="6" t="s">
        <v>30</v>
      </c>
      <c r="B32">
        <f>COUNT(AO3:AO100)</f>
        <v>1</v>
      </c>
      <c r="C32">
        <f ca="1">CountCellsByColor(AO3:AO98, C1)</f>
        <v>0</v>
      </c>
      <c r="D32">
        <f ca="1">CountCellsByColor(AO3:AO98, D1)</f>
        <v>0</v>
      </c>
      <c r="M32">
        <v>167</v>
      </c>
      <c r="N32" s="8">
        <v>279</v>
      </c>
      <c r="AV32">
        <v>250</v>
      </c>
    </row>
    <row r="33" spans="1:48" x14ac:dyDescent="0.25">
      <c r="A33" s="6" t="s">
        <v>31</v>
      </c>
      <c r="B33">
        <f>COUNT(AJ3:AJ100)</f>
        <v>2</v>
      </c>
      <c r="C33">
        <f ca="1">CountCellsByColor(AJ3:AJ98, C1)</f>
        <v>0</v>
      </c>
      <c r="D33">
        <f ca="1">CountCellsByColor(AJ3:AJ98, D1)</f>
        <v>0</v>
      </c>
      <c r="M33">
        <v>168</v>
      </c>
      <c r="N33" s="11">
        <v>180</v>
      </c>
      <c r="AV33">
        <v>256</v>
      </c>
    </row>
    <row r="34" spans="1:48" x14ac:dyDescent="0.25">
      <c r="A34" s="6" t="s">
        <v>69</v>
      </c>
      <c r="B34">
        <f>COUNT(AT3:AT100)</f>
        <v>1</v>
      </c>
      <c r="C34">
        <f ca="1">CountCellsByColor(AT3:AT98, C1)</f>
        <v>0</v>
      </c>
      <c r="D34">
        <f ca="1">CountCellsByColor(AT3:AT98, D1)</f>
        <v>0</v>
      </c>
      <c r="M34">
        <v>169</v>
      </c>
      <c r="AV34">
        <v>257</v>
      </c>
    </row>
    <row r="35" spans="1:48" x14ac:dyDescent="0.25">
      <c r="M35">
        <v>170</v>
      </c>
      <c r="AV35">
        <v>258</v>
      </c>
    </row>
    <row r="36" spans="1:48" x14ac:dyDescent="0.25">
      <c r="M36">
        <v>176</v>
      </c>
      <c r="AV36">
        <v>261</v>
      </c>
    </row>
    <row r="37" spans="1:48" x14ac:dyDescent="0.25">
      <c r="M37">
        <v>194</v>
      </c>
      <c r="AV37">
        <v>262</v>
      </c>
    </row>
    <row r="38" spans="1:48" x14ac:dyDescent="0.25">
      <c r="M38" s="8">
        <v>200</v>
      </c>
      <c r="AV38">
        <v>263</v>
      </c>
    </row>
    <row r="39" spans="1:48" x14ac:dyDescent="0.25">
      <c r="M39">
        <v>208</v>
      </c>
      <c r="AV39">
        <v>264</v>
      </c>
    </row>
    <row r="40" spans="1:48" x14ac:dyDescent="0.25">
      <c r="M40">
        <v>212</v>
      </c>
      <c r="AV40">
        <v>265</v>
      </c>
    </row>
    <row r="41" spans="1:48" x14ac:dyDescent="0.25">
      <c r="M41">
        <v>214</v>
      </c>
    </row>
    <row r="42" spans="1:48" x14ac:dyDescent="0.25">
      <c r="M42" s="8">
        <v>215</v>
      </c>
      <c r="AV42">
        <v>268</v>
      </c>
    </row>
    <row r="43" spans="1:48" x14ac:dyDescent="0.25">
      <c r="M43">
        <v>216</v>
      </c>
      <c r="AV43">
        <v>269</v>
      </c>
    </row>
    <row r="44" spans="1:48" x14ac:dyDescent="0.25">
      <c r="M44">
        <v>221</v>
      </c>
      <c r="AV44">
        <v>270</v>
      </c>
    </row>
    <row r="45" spans="1:48" x14ac:dyDescent="0.25">
      <c r="M45">
        <v>223</v>
      </c>
      <c r="AV45">
        <v>271</v>
      </c>
    </row>
    <row r="46" spans="1:48" x14ac:dyDescent="0.25">
      <c r="M46">
        <v>224</v>
      </c>
      <c r="AV46">
        <v>272</v>
      </c>
    </row>
    <row r="47" spans="1:48" x14ac:dyDescent="0.25">
      <c r="M47" s="8">
        <v>226</v>
      </c>
      <c r="AV47">
        <v>273</v>
      </c>
    </row>
    <row r="48" spans="1:48" x14ac:dyDescent="0.25">
      <c r="M48">
        <v>234</v>
      </c>
      <c r="AV48">
        <v>274</v>
      </c>
    </row>
    <row r="49" spans="13:48" x14ac:dyDescent="0.25">
      <c r="M49">
        <v>236</v>
      </c>
      <c r="AV49">
        <v>275</v>
      </c>
    </row>
    <row r="50" spans="13:48" x14ac:dyDescent="0.25">
      <c r="M50">
        <v>237</v>
      </c>
      <c r="AV50">
        <v>276</v>
      </c>
    </row>
    <row r="51" spans="13:48" x14ac:dyDescent="0.25">
      <c r="M51">
        <v>255</v>
      </c>
      <c r="AV51">
        <v>277</v>
      </c>
    </row>
    <row r="52" spans="13:48" x14ac:dyDescent="0.25">
      <c r="M52">
        <v>319</v>
      </c>
      <c r="AV52">
        <v>278</v>
      </c>
    </row>
    <row r="53" spans="13:48" x14ac:dyDescent="0.25">
      <c r="M53">
        <v>320</v>
      </c>
    </row>
    <row r="54" spans="13:48" x14ac:dyDescent="0.25">
      <c r="M54">
        <v>325</v>
      </c>
      <c r="AV54">
        <v>280</v>
      </c>
    </row>
    <row r="55" spans="13:48" x14ac:dyDescent="0.25">
      <c r="M55">
        <v>326</v>
      </c>
    </row>
    <row r="56" spans="13:48" x14ac:dyDescent="0.25">
      <c r="M56" s="8">
        <v>328</v>
      </c>
      <c r="AV56">
        <v>282</v>
      </c>
    </row>
    <row r="57" spans="13:48" x14ac:dyDescent="0.25">
      <c r="M57">
        <v>331</v>
      </c>
      <c r="AV57">
        <v>283</v>
      </c>
    </row>
    <row r="58" spans="13:48" x14ac:dyDescent="0.25">
      <c r="M58">
        <v>332</v>
      </c>
      <c r="AV58">
        <v>287</v>
      </c>
    </row>
    <row r="59" spans="13:48" x14ac:dyDescent="0.25">
      <c r="M59" s="8">
        <v>333</v>
      </c>
      <c r="AV59">
        <v>288</v>
      </c>
    </row>
    <row r="60" spans="13:48" x14ac:dyDescent="0.25">
      <c r="M60">
        <v>334</v>
      </c>
      <c r="AV60">
        <v>289</v>
      </c>
    </row>
    <row r="61" spans="13:48" x14ac:dyDescent="0.25">
      <c r="M61">
        <v>335</v>
      </c>
      <c r="AV61">
        <v>290</v>
      </c>
    </row>
    <row r="62" spans="13:48" x14ac:dyDescent="0.25">
      <c r="M62" s="8">
        <v>266</v>
      </c>
      <c r="AV62">
        <v>291</v>
      </c>
    </row>
    <row r="63" spans="13:48" x14ac:dyDescent="0.25">
      <c r="M63" s="8">
        <v>310</v>
      </c>
      <c r="AV63">
        <v>292</v>
      </c>
    </row>
    <row r="64" spans="13:48" x14ac:dyDescent="0.25">
      <c r="M64" s="11">
        <v>227</v>
      </c>
      <c r="AV64">
        <v>293</v>
      </c>
    </row>
    <row r="65" spans="13:48" x14ac:dyDescent="0.25">
      <c r="M65" s="11">
        <v>228</v>
      </c>
      <c r="AV65">
        <v>294</v>
      </c>
    </row>
    <row r="66" spans="13:48" x14ac:dyDescent="0.25">
      <c r="M66" s="11">
        <v>229</v>
      </c>
      <c r="AV66">
        <v>295</v>
      </c>
    </row>
    <row r="67" spans="13:48" x14ac:dyDescent="0.25">
      <c r="AV67">
        <v>296</v>
      </c>
    </row>
    <row r="68" spans="13:48" x14ac:dyDescent="0.25">
      <c r="AV68">
        <v>297</v>
      </c>
    </row>
    <row r="69" spans="13:48" x14ac:dyDescent="0.25">
      <c r="AV69">
        <v>298</v>
      </c>
    </row>
    <row r="70" spans="13:48" x14ac:dyDescent="0.25">
      <c r="AV70">
        <v>299</v>
      </c>
    </row>
    <row r="71" spans="13:48" x14ac:dyDescent="0.25">
      <c r="AV71">
        <v>300</v>
      </c>
    </row>
    <row r="72" spans="13:48" x14ac:dyDescent="0.25">
      <c r="AV72">
        <v>301</v>
      </c>
    </row>
    <row r="73" spans="13:48" x14ac:dyDescent="0.25">
      <c r="AV73">
        <v>302</v>
      </c>
    </row>
    <row r="74" spans="13:48" x14ac:dyDescent="0.25">
      <c r="AV74">
        <v>305</v>
      </c>
    </row>
    <row r="75" spans="13:48" x14ac:dyDescent="0.25">
      <c r="AV75">
        <v>306</v>
      </c>
    </row>
    <row r="76" spans="13:48" x14ac:dyDescent="0.25">
      <c r="AV76">
        <v>307</v>
      </c>
    </row>
    <row r="77" spans="13:48" x14ac:dyDescent="0.25">
      <c r="AV77">
        <v>308</v>
      </c>
    </row>
    <row r="78" spans="13:48" x14ac:dyDescent="0.25">
      <c r="AV78">
        <v>309</v>
      </c>
    </row>
    <row r="80" spans="13:48" x14ac:dyDescent="0.25">
      <c r="AV80">
        <v>311</v>
      </c>
    </row>
    <row r="81" spans="48:48" x14ac:dyDescent="0.25">
      <c r="AV81">
        <v>312</v>
      </c>
    </row>
    <row r="82" spans="48:48" x14ac:dyDescent="0.25">
      <c r="AV82">
        <v>313</v>
      </c>
    </row>
    <row r="83" spans="48:48" x14ac:dyDescent="0.25">
      <c r="AV83">
        <v>314</v>
      </c>
    </row>
    <row r="84" spans="48:48" x14ac:dyDescent="0.25">
      <c r="AV84">
        <v>315</v>
      </c>
    </row>
    <row r="85" spans="48:48" x14ac:dyDescent="0.25">
      <c r="AV85">
        <v>316</v>
      </c>
    </row>
    <row r="86" spans="48:48" x14ac:dyDescent="0.25">
      <c r="AV86">
        <v>317</v>
      </c>
    </row>
    <row r="87" spans="48:48" x14ac:dyDescent="0.25">
      <c r="AV87">
        <v>318</v>
      </c>
    </row>
    <row r="88" spans="48:48" x14ac:dyDescent="0.25">
      <c r="AV88">
        <v>322</v>
      </c>
    </row>
    <row r="89" spans="48:48" x14ac:dyDescent="0.25">
      <c r="AV89">
        <v>323</v>
      </c>
    </row>
    <row r="90" spans="48:48" x14ac:dyDescent="0.25">
      <c r="AV90">
        <v>336</v>
      </c>
    </row>
    <row r="91" spans="48:48" x14ac:dyDescent="0.25">
      <c r="AV91">
        <v>337</v>
      </c>
    </row>
    <row r="92" spans="48:48" x14ac:dyDescent="0.25">
      <c r="AV92">
        <v>338</v>
      </c>
    </row>
    <row r="93" spans="48:48" x14ac:dyDescent="0.25">
      <c r="AV93">
        <v>339</v>
      </c>
    </row>
    <row r="94" spans="48:48" x14ac:dyDescent="0.25">
      <c r="AV94">
        <v>340</v>
      </c>
    </row>
    <row r="95" spans="48:48" x14ac:dyDescent="0.25">
      <c r="AV95">
        <v>341</v>
      </c>
    </row>
    <row r="96" spans="48:48" x14ac:dyDescent="0.25">
      <c r="AV96">
        <v>342</v>
      </c>
    </row>
    <row r="97" spans="48:48" x14ac:dyDescent="0.25">
      <c r="AV97">
        <v>343</v>
      </c>
    </row>
    <row r="98" spans="48:48" x14ac:dyDescent="0.25">
      <c r="AV98">
        <v>344</v>
      </c>
    </row>
    <row r="99" spans="48:48" x14ac:dyDescent="0.25">
      <c r="AV99">
        <v>345</v>
      </c>
    </row>
    <row r="100" spans="48:48" x14ac:dyDescent="0.25">
      <c r="AV100">
        <v>346</v>
      </c>
    </row>
    <row r="101" spans="48:48" x14ac:dyDescent="0.25">
      <c r="AV101">
        <v>347</v>
      </c>
    </row>
    <row r="102" spans="48:48" x14ac:dyDescent="0.25">
      <c r="AV102">
        <v>348</v>
      </c>
    </row>
    <row r="104" spans="48:48" x14ac:dyDescent="0.25">
      <c r="AV104">
        <v>350</v>
      </c>
    </row>
    <row r="105" spans="48:48" x14ac:dyDescent="0.25">
      <c r="AV105">
        <v>352</v>
      </c>
    </row>
    <row r="106" spans="48:48" x14ac:dyDescent="0.25">
      <c r="AV106">
        <v>353</v>
      </c>
    </row>
    <row r="107" spans="48:48" x14ac:dyDescent="0.25">
      <c r="AV107">
        <v>354</v>
      </c>
    </row>
    <row r="108" spans="48:48" x14ac:dyDescent="0.25">
      <c r="AV108">
        <v>356</v>
      </c>
    </row>
    <row r="109" spans="48:48" x14ac:dyDescent="0.25">
      <c r="AV109">
        <v>357</v>
      </c>
    </row>
    <row r="110" spans="48:48" x14ac:dyDescent="0.25">
      <c r="AV110">
        <v>358</v>
      </c>
    </row>
    <row r="111" spans="48:48" x14ac:dyDescent="0.25">
      <c r="AV111">
        <v>359</v>
      </c>
    </row>
    <row r="112" spans="48:48" x14ac:dyDescent="0.25">
      <c r="AV112">
        <v>360</v>
      </c>
    </row>
    <row r="113" spans="48:48" x14ac:dyDescent="0.25">
      <c r="AV113">
        <v>361</v>
      </c>
    </row>
    <row r="114" spans="48:48" x14ac:dyDescent="0.25">
      <c r="AV114">
        <v>362</v>
      </c>
    </row>
    <row r="115" spans="48:48" x14ac:dyDescent="0.25">
      <c r="AV115">
        <v>363</v>
      </c>
    </row>
    <row r="116" spans="48:48" x14ac:dyDescent="0.25">
      <c r="AV116">
        <v>364</v>
      </c>
    </row>
    <row r="117" spans="48:48" x14ac:dyDescent="0.25">
      <c r="AV117">
        <v>365</v>
      </c>
    </row>
    <row r="118" spans="48:48" x14ac:dyDescent="0.25">
      <c r="AV118">
        <v>366</v>
      </c>
    </row>
    <row r="120" spans="48:48" x14ac:dyDescent="0.25">
      <c r="AV120">
        <v>369</v>
      </c>
    </row>
    <row r="121" spans="48:48" x14ac:dyDescent="0.25">
      <c r="AV121">
        <v>370</v>
      </c>
    </row>
    <row r="122" spans="48:48" x14ac:dyDescent="0.25">
      <c r="AV122">
        <v>371</v>
      </c>
    </row>
    <row r="123" spans="48:48" x14ac:dyDescent="0.25">
      <c r="AV123">
        <v>372</v>
      </c>
    </row>
    <row r="124" spans="48:48" x14ac:dyDescent="0.25">
      <c r="AV124">
        <v>373</v>
      </c>
    </row>
    <row r="125" spans="48:48" x14ac:dyDescent="0.25">
      <c r="AV125">
        <v>374</v>
      </c>
    </row>
    <row r="126" spans="48:48" x14ac:dyDescent="0.25">
      <c r="AV126">
        <v>375</v>
      </c>
    </row>
    <row r="127" spans="48:48" x14ac:dyDescent="0.25">
      <c r="AV127">
        <v>376</v>
      </c>
    </row>
    <row r="128" spans="48:48" x14ac:dyDescent="0.25">
      <c r="AV128">
        <v>377</v>
      </c>
    </row>
    <row r="129" spans="48:48" x14ac:dyDescent="0.25">
      <c r="AV129">
        <v>378</v>
      </c>
    </row>
    <row r="130" spans="48:48" x14ac:dyDescent="0.25">
      <c r="AV130">
        <v>379</v>
      </c>
    </row>
    <row r="131" spans="48:48" x14ac:dyDescent="0.25">
      <c r="AV131">
        <v>380</v>
      </c>
    </row>
    <row r="132" spans="48:48" x14ac:dyDescent="0.25">
      <c r="AV132">
        <v>381</v>
      </c>
    </row>
    <row r="133" spans="48:48" x14ac:dyDescent="0.25">
      <c r="AV133">
        <v>382</v>
      </c>
    </row>
    <row r="134" spans="48:48" x14ac:dyDescent="0.25">
      <c r="AV134">
        <v>383</v>
      </c>
    </row>
    <row r="135" spans="48:48" x14ac:dyDescent="0.25">
      <c r="AV135">
        <v>384</v>
      </c>
    </row>
    <row r="136" spans="48:48" x14ac:dyDescent="0.25">
      <c r="AV136">
        <v>385</v>
      </c>
    </row>
    <row r="137" spans="48:48" x14ac:dyDescent="0.25">
      <c r="AV137">
        <v>386</v>
      </c>
    </row>
    <row r="138" spans="48:48" x14ac:dyDescent="0.25">
      <c r="AV138">
        <v>387</v>
      </c>
    </row>
    <row r="139" spans="48:48" x14ac:dyDescent="0.25">
      <c r="AV139">
        <v>388</v>
      </c>
    </row>
    <row r="140" spans="48:48" x14ac:dyDescent="0.25">
      <c r="AV140">
        <v>389</v>
      </c>
    </row>
    <row r="141" spans="48:48" x14ac:dyDescent="0.25">
      <c r="AV141">
        <v>390</v>
      </c>
    </row>
    <row r="142" spans="48:48" x14ac:dyDescent="0.25">
      <c r="AV142">
        <v>391</v>
      </c>
    </row>
    <row r="143" spans="48:48" x14ac:dyDescent="0.25">
      <c r="AV143">
        <v>392</v>
      </c>
    </row>
    <row r="144" spans="48:48" x14ac:dyDescent="0.25">
      <c r="AV144">
        <v>393</v>
      </c>
    </row>
    <row r="145" spans="48:48" x14ac:dyDescent="0.25">
      <c r="AV145">
        <v>394</v>
      </c>
    </row>
    <row r="146" spans="48:48" x14ac:dyDescent="0.25">
      <c r="AV146">
        <v>395</v>
      </c>
    </row>
    <row r="147" spans="48:48" x14ac:dyDescent="0.25">
      <c r="AV147">
        <v>396</v>
      </c>
    </row>
    <row r="148" spans="48:48" x14ac:dyDescent="0.25">
      <c r="AV148">
        <v>397</v>
      </c>
    </row>
    <row r="149" spans="48:48" x14ac:dyDescent="0.25">
      <c r="AV149">
        <v>398</v>
      </c>
    </row>
    <row r="150" spans="48:48" x14ac:dyDescent="0.25">
      <c r="AV150">
        <v>399</v>
      </c>
    </row>
    <row r="151" spans="48:48" x14ac:dyDescent="0.25">
      <c r="AV151">
        <v>400</v>
      </c>
    </row>
    <row r="152" spans="48:48" x14ac:dyDescent="0.25">
      <c r="AV152">
        <v>401</v>
      </c>
    </row>
    <row r="153" spans="48:48" x14ac:dyDescent="0.25">
      <c r="AV153">
        <v>402</v>
      </c>
    </row>
    <row r="154" spans="48:48" x14ac:dyDescent="0.25">
      <c r="AV154">
        <v>403</v>
      </c>
    </row>
    <row r="155" spans="48:48" x14ac:dyDescent="0.25">
      <c r="AV155">
        <v>404</v>
      </c>
    </row>
    <row r="156" spans="48:48" x14ac:dyDescent="0.25">
      <c r="AV156">
        <v>405</v>
      </c>
    </row>
    <row r="157" spans="48:48" x14ac:dyDescent="0.25">
      <c r="AV157">
        <v>406</v>
      </c>
    </row>
    <row r="158" spans="48:48" x14ac:dyDescent="0.25">
      <c r="AV158">
        <v>407</v>
      </c>
    </row>
    <row r="159" spans="48:48" x14ac:dyDescent="0.25">
      <c r="AV159">
        <v>408</v>
      </c>
    </row>
    <row r="160" spans="48:48" x14ac:dyDescent="0.25">
      <c r="AV160">
        <v>409</v>
      </c>
    </row>
    <row r="161" spans="48:48" x14ac:dyDescent="0.25">
      <c r="AV161">
        <v>410</v>
      </c>
    </row>
    <row r="162" spans="48:48" x14ac:dyDescent="0.25">
      <c r="AV162">
        <v>411</v>
      </c>
    </row>
    <row r="163" spans="48:48" x14ac:dyDescent="0.25">
      <c r="AV163">
        <v>412</v>
      </c>
    </row>
    <row r="164" spans="48:48" x14ac:dyDescent="0.25">
      <c r="AV164">
        <v>413</v>
      </c>
    </row>
    <row r="165" spans="48:48" x14ac:dyDescent="0.25">
      <c r="AV165">
        <v>414</v>
      </c>
    </row>
    <row r="166" spans="48:48" x14ac:dyDescent="0.25">
      <c r="AV166">
        <v>415</v>
      </c>
    </row>
    <row r="167" spans="48:48" x14ac:dyDescent="0.25">
      <c r="AV167">
        <v>416</v>
      </c>
    </row>
    <row r="168" spans="48:48" x14ac:dyDescent="0.25">
      <c r="AV168">
        <v>417</v>
      </c>
    </row>
    <row r="169" spans="48:48" x14ac:dyDescent="0.25">
      <c r="AV169">
        <v>418</v>
      </c>
    </row>
    <row r="170" spans="48:48" x14ac:dyDescent="0.25">
      <c r="AV170">
        <v>419</v>
      </c>
    </row>
    <row r="171" spans="48:48" x14ac:dyDescent="0.25">
      <c r="AV171">
        <v>420</v>
      </c>
    </row>
    <row r="172" spans="48:48" x14ac:dyDescent="0.25">
      <c r="AV172">
        <v>421</v>
      </c>
    </row>
    <row r="173" spans="48:48" x14ac:dyDescent="0.25">
      <c r="AV173">
        <v>422</v>
      </c>
    </row>
    <row r="174" spans="48:48" x14ac:dyDescent="0.25">
      <c r="AV174">
        <v>423</v>
      </c>
    </row>
    <row r="175" spans="48:48" x14ac:dyDescent="0.25">
      <c r="AV175">
        <v>424</v>
      </c>
    </row>
    <row r="176" spans="48:48" x14ac:dyDescent="0.25">
      <c r="AV176">
        <v>425</v>
      </c>
    </row>
    <row r="177" spans="48:48" x14ac:dyDescent="0.25">
      <c r="AV177">
        <v>426</v>
      </c>
    </row>
    <row r="178" spans="48:48" x14ac:dyDescent="0.25">
      <c r="AV178">
        <v>427</v>
      </c>
    </row>
    <row r="179" spans="48:48" x14ac:dyDescent="0.25">
      <c r="AV179">
        <v>428</v>
      </c>
    </row>
    <row r="180" spans="48:48" x14ac:dyDescent="0.25">
      <c r="AV180">
        <v>429</v>
      </c>
    </row>
    <row r="181" spans="48:48" x14ac:dyDescent="0.25">
      <c r="AV181">
        <v>430</v>
      </c>
    </row>
    <row r="182" spans="48:48" x14ac:dyDescent="0.25">
      <c r="AV182">
        <v>431</v>
      </c>
    </row>
    <row r="183" spans="48:48" x14ac:dyDescent="0.25">
      <c r="AV183">
        <v>432</v>
      </c>
    </row>
    <row r="184" spans="48:48" x14ac:dyDescent="0.25">
      <c r="AV184">
        <v>433</v>
      </c>
    </row>
    <row r="185" spans="48:48" x14ac:dyDescent="0.25">
      <c r="AV185">
        <v>434</v>
      </c>
    </row>
    <row r="186" spans="48:48" x14ac:dyDescent="0.25">
      <c r="AV186">
        <v>435</v>
      </c>
    </row>
    <row r="187" spans="48:48" x14ac:dyDescent="0.25">
      <c r="AV187">
        <v>436</v>
      </c>
    </row>
    <row r="188" spans="48:48" x14ac:dyDescent="0.25">
      <c r="AV188">
        <v>437</v>
      </c>
    </row>
    <row r="189" spans="48:48" x14ac:dyDescent="0.25">
      <c r="AV189">
        <v>438</v>
      </c>
    </row>
    <row r="190" spans="48:48" x14ac:dyDescent="0.25">
      <c r="AV190">
        <v>439</v>
      </c>
    </row>
    <row r="191" spans="48:48" x14ac:dyDescent="0.25">
      <c r="AV191">
        <v>440</v>
      </c>
    </row>
    <row r="192" spans="48:48" x14ac:dyDescent="0.25">
      <c r="AV192">
        <v>441</v>
      </c>
    </row>
    <row r="193" spans="48:48" x14ac:dyDescent="0.25">
      <c r="AV193">
        <v>442</v>
      </c>
    </row>
    <row r="194" spans="48:48" x14ac:dyDescent="0.25">
      <c r="AV194">
        <v>443</v>
      </c>
    </row>
    <row r="195" spans="48:48" x14ac:dyDescent="0.25">
      <c r="AV195">
        <v>444</v>
      </c>
    </row>
    <row r="196" spans="48:48" x14ac:dyDescent="0.25">
      <c r="AV196">
        <v>445</v>
      </c>
    </row>
    <row r="197" spans="48:48" x14ac:dyDescent="0.25">
      <c r="AV197">
        <v>446</v>
      </c>
    </row>
    <row r="198" spans="48:48" x14ac:dyDescent="0.25">
      <c r="AV198">
        <v>447</v>
      </c>
    </row>
    <row r="199" spans="48:48" x14ac:dyDescent="0.25">
      <c r="AV199">
        <v>448</v>
      </c>
    </row>
    <row r="200" spans="48:48" x14ac:dyDescent="0.25">
      <c r="AV200">
        <v>449</v>
      </c>
    </row>
    <row r="201" spans="48:48" x14ac:dyDescent="0.25">
      <c r="AV201">
        <v>450</v>
      </c>
    </row>
    <row r="202" spans="48:48" x14ac:dyDescent="0.25">
      <c r="AV202">
        <v>451</v>
      </c>
    </row>
    <row r="203" spans="48:48" x14ac:dyDescent="0.25">
      <c r="AV203">
        <v>452</v>
      </c>
    </row>
    <row r="204" spans="48:48" x14ac:dyDescent="0.25">
      <c r="AV204">
        <v>453</v>
      </c>
    </row>
    <row r="205" spans="48:48" x14ac:dyDescent="0.25">
      <c r="AV205">
        <v>454</v>
      </c>
    </row>
    <row r="206" spans="48:48" x14ac:dyDescent="0.25">
      <c r="AV206">
        <v>455</v>
      </c>
    </row>
    <row r="207" spans="48:48" x14ac:dyDescent="0.25">
      <c r="AV207">
        <v>456</v>
      </c>
    </row>
    <row r="208" spans="48:48" x14ac:dyDescent="0.25">
      <c r="AV208">
        <v>457</v>
      </c>
    </row>
    <row r="209" spans="48:48" x14ac:dyDescent="0.25">
      <c r="AV209">
        <v>458</v>
      </c>
    </row>
    <row r="210" spans="48:48" x14ac:dyDescent="0.25">
      <c r="AV210">
        <v>459</v>
      </c>
    </row>
    <row r="211" spans="48:48" x14ac:dyDescent="0.25">
      <c r="AV211">
        <v>460</v>
      </c>
    </row>
    <row r="212" spans="48:48" x14ac:dyDescent="0.25">
      <c r="AV212">
        <v>461</v>
      </c>
    </row>
    <row r="213" spans="48:48" x14ac:dyDescent="0.25">
      <c r="AV213">
        <v>462</v>
      </c>
    </row>
    <row r="214" spans="48:48" x14ac:dyDescent="0.25">
      <c r="AV214">
        <v>463</v>
      </c>
    </row>
    <row r="215" spans="48:48" x14ac:dyDescent="0.25">
      <c r="AV215">
        <v>464</v>
      </c>
    </row>
    <row r="216" spans="48:48" x14ac:dyDescent="0.25">
      <c r="AV216">
        <v>465</v>
      </c>
    </row>
    <row r="217" spans="48:48" x14ac:dyDescent="0.25">
      <c r="AV217">
        <v>466</v>
      </c>
    </row>
    <row r="218" spans="48:48" x14ac:dyDescent="0.25">
      <c r="AV218">
        <v>467</v>
      </c>
    </row>
    <row r="219" spans="48:48" x14ac:dyDescent="0.25">
      <c r="AV219">
        <v>468</v>
      </c>
    </row>
    <row r="220" spans="48:48" x14ac:dyDescent="0.25">
      <c r="AV220">
        <v>469</v>
      </c>
    </row>
    <row r="221" spans="48:48" x14ac:dyDescent="0.25">
      <c r="AV221">
        <v>470</v>
      </c>
    </row>
    <row r="222" spans="48:48" x14ac:dyDescent="0.25">
      <c r="AV222">
        <v>471</v>
      </c>
    </row>
    <row r="223" spans="48:48" x14ac:dyDescent="0.25">
      <c r="AV223">
        <v>472</v>
      </c>
    </row>
    <row r="224" spans="48:48" x14ac:dyDescent="0.25">
      <c r="AV224">
        <v>473</v>
      </c>
    </row>
    <row r="225" spans="48:48" x14ac:dyDescent="0.25">
      <c r="AV225">
        <v>474</v>
      </c>
    </row>
    <row r="226" spans="48:48" x14ac:dyDescent="0.25">
      <c r="AV226">
        <v>475</v>
      </c>
    </row>
    <row r="227" spans="48:48" x14ac:dyDescent="0.25">
      <c r="AV227">
        <v>476</v>
      </c>
    </row>
    <row r="228" spans="48:48" x14ac:dyDescent="0.25">
      <c r="AV228">
        <v>477</v>
      </c>
    </row>
    <row r="229" spans="48:48" x14ac:dyDescent="0.25">
      <c r="AV229">
        <v>478</v>
      </c>
    </row>
    <row r="230" spans="48:48" x14ac:dyDescent="0.25">
      <c r="AV230">
        <v>479</v>
      </c>
    </row>
    <row r="231" spans="48:48" x14ac:dyDescent="0.25">
      <c r="AV231">
        <v>480</v>
      </c>
    </row>
    <row r="232" spans="48:48" x14ac:dyDescent="0.25">
      <c r="AV232">
        <v>481</v>
      </c>
    </row>
    <row r="233" spans="48:48" x14ac:dyDescent="0.25">
      <c r="AV233">
        <v>482</v>
      </c>
    </row>
    <row r="234" spans="48:48" x14ac:dyDescent="0.25">
      <c r="AV234">
        <v>483</v>
      </c>
    </row>
    <row r="235" spans="48:48" x14ac:dyDescent="0.25">
      <c r="AV235">
        <v>484</v>
      </c>
    </row>
    <row r="236" spans="48:48" x14ac:dyDescent="0.25">
      <c r="AV236">
        <v>485</v>
      </c>
    </row>
    <row r="237" spans="48:48" x14ac:dyDescent="0.25">
      <c r="AV237">
        <v>486</v>
      </c>
    </row>
    <row r="238" spans="48:48" x14ac:dyDescent="0.25">
      <c r="AV238">
        <v>487</v>
      </c>
    </row>
    <row r="239" spans="48:48" x14ac:dyDescent="0.25">
      <c r="AV239">
        <v>488</v>
      </c>
    </row>
    <row r="240" spans="48:48" x14ac:dyDescent="0.25">
      <c r="AV240">
        <v>489</v>
      </c>
    </row>
    <row r="241" spans="48:48" x14ac:dyDescent="0.25">
      <c r="AV241">
        <v>490</v>
      </c>
    </row>
    <row r="242" spans="48:48" x14ac:dyDescent="0.25">
      <c r="AV242">
        <v>491</v>
      </c>
    </row>
    <row r="243" spans="48:48" x14ac:dyDescent="0.25">
      <c r="AV243">
        <v>492</v>
      </c>
    </row>
    <row r="244" spans="48:48" x14ac:dyDescent="0.25">
      <c r="AV244">
        <v>493</v>
      </c>
    </row>
    <row r="245" spans="48:48" x14ac:dyDescent="0.25">
      <c r="AV245">
        <v>494</v>
      </c>
    </row>
    <row r="246" spans="48:48" x14ac:dyDescent="0.25">
      <c r="AV246">
        <v>495</v>
      </c>
    </row>
    <row r="247" spans="48:48" x14ac:dyDescent="0.25">
      <c r="AV247">
        <v>496</v>
      </c>
    </row>
    <row r="248" spans="48:48" x14ac:dyDescent="0.25">
      <c r="AV248">
        <v>497</v>
      </c>
    </row>
    <row r="249" spans="48:48" x14ac:dyDescent="0.25">
      <c r="AV249">
        <v>498</v>
      </c>
    </row>
    <row r="250" spans="48:48" x14ac:dyDescent="0.25">
      <c r="AV250">
        <v>499</v>
      </c>
    </row>
    <row r="251" spans="48:48" x14ac:dyDescent="0.25">
      <c r="AV251">
        <v>500</v>
      </c>
    </row>
    <row r="252" spans="48:48" x14ac:dyDescent="0.25">
      <c r="AV252">
        <v>501</v>
      </c>
    </row>
    <row r="253" spans="48:48" x14ac:dyDescent="0.25">
      <c r="AV253">
        <v>502</v>
      </c>
    </row>
    <row r="254" spans="48:48" x14ac:dyDescent="0.25">
      <c r="AV254">
        <v>503</v>
      </c>
    </row>
    <row r="255" spans="48:48" x14ac:dyDescent="0.25">
      <c r="AV255">
        <v>504</v>
      </c>
    </row>
    <row r="256" spans="48:48" x14ac:dyDescent="0.25">
      <c r="AV256">
        <v>505</v>
      </c>
    </row>
    <row r="257" spans="48:48" x14ac:dyDescent="0.25">
      <c r="AV257">
        <v>506</v>
      </c>
    </row>
    <row r="258" spans="48:48" x14ac:dyDescent="0.25">
      <c r="AV258">
        <v>507</v>
      </c>
    </row>
    <row r="259" spans="48:48" x14ac:dyDescent="0.25">
      <c r="AV259">
        <v>508</v>
      </c>
    </row>
    <row r="260" spans="48:48" x14ac:dyDescent="0.25">
      <c r="AV260">
        <v>509</v>
      </c>
    </row>
    <row r="261" spans="48:48" x14ac:dyDescent="0.25">
      <c r="AV261">
        <v>510</v>
      </c>
    </row>
    <row r="262" spans="48:48" x14ac:dyDescent="0.25">
      <c r="AV262">
        <v>511</v>
      </c>
    </row>
    <row r="263" spans="48:48" x14ac:dyDescent="0.25">
      <c r="AV263">
        <v>512</v>
      </c>
    </row>
    <row r="264" spans="48:48" x14ac:dyDescent="0.25">
      <c r="AV264">
        <v>513</v>
      </c>
    </row>
    <row r="265" spans="48:48" x14ac:dyDescent="0.25">
      <c r="AV265">
        <v>514</v>
      </c>
    </row>
    <row r="266" spans="48:48" x14ac:dyDescent="0.25">
      <c r="AV266">
        <v>515</v>
      </c>
    </row>
    <row r="267" spans="48:48" x14ac:dyDescent="0.25">
      <c r="AV267">
        <v>516</v>
      </c>
    </row>
    <row r="268" spans="48:48" x14ac:dyDescent="0.25">
      <c r="AV268">
        <v>517</v>
      </c>
    </row>
    <row r="269" spans="48:48" x14ac:dyDescent="0.25">
      <c r="AV269">
        <v>518</v>
      </c>
    </row>
    <row r="270" spans="48:48" x14ac:dyDescent="0.25">
      <c r="AV270">
        <v>519</v>
      </c>
    </row>
    <row r="271" spans="48:48" x14ac:dyDescent="0.25">
      <c r="AV271">
        <v>520</v>
      </c>
    </row>
    <row r="272" spans="48:48" x14ac:dyDescent="0.25">
      <c r="AV272">
        <v>521</v>
      </c>
    </row>
    <row r="273" spans="48:48" x14ac:dyDescent="0.25">
      <c r="AV273">
        <v>522</v>
      </c>
    </row>
    <row r="274" spans="48:48" x14ac:dyDescent="0.25">
      <c r="AV274">
        <v>523</v>
      </c>
    </row>
    <row r="275" spans="48:48" x14ac:dyDescent="0.25">
      <c r="AV275">
        <v>524</v>
      </c>
    </row>
    <row r="276" spans="48:48" x14ac:dyDescent="0.25">
      <c r="AV276">
        <v>525</v>
      </c>
    </row>
    <row r="277" spans="48:48" x14ac:dyDescent="0.25">
      <c r="AV277">
        <v>526</v>
      </c>
    </row>
    <row r="278" spans="48:48" x14ac:dyDescent="0.25">
      <c r="AV278">
        <v>527</v>
      </c>
    </row>
    <row r="279" spans="48:48" x14ac:dyDescent="0.25">
      <c r="AV279">
        <v>528</v>
      </c>
    </row>
    <row r="280" spans="48:48" x14ac:dyDescent="0.25">
      <c r="AV280">
        <v>529</v>
      </c>
    </row>
    <row r="281" spans="48:48" x14ac:dyDescent="0.25">
      <c r="AV281">
        <v>530</v>
      </c>
    </row>
    <row r="282" spans="48:48" x14ac:dyDescent="0.25">
      <c r="AV282">
        <v>531</v>
      </c>
    </row>
    <row r="283" spans="48:48" x14ac:dyDescent="0.25">
      <c r="AV283">
        <v>532</v>
      </c>
    </row>
    <row r="284" spans="48:48" x14ac:dyDescent="0.25">
      <c r="AV284">
        <v>533</v>
      </c>
    </row>
    <row r="285" spans="48:48" x14ac:dyDescent="0.25">
      <c r="AV285">
        <v>534</v>
      </c>
    </row>
    <row r="286" spans="48:48" x14ac:dyDescent="0.25">
      <c r="AV286">
        <v>535</v>
      </c>
    </row>
    <row r="287" spans="48:48" x14ac:dyDescent="0.25">
      <c r="AV287">
        <v>536</v>
      </c>
    </row>
    <row r="288" spans="48:48" x14ac:dyDescent="0.25">
      <c r="AV288">
        <v>537</v>
      </c>
    </row>
    <row r="289" spans="48:48" x14ac:dyDescent="0.25">
      <c r="AV289">
        <v>538</v>
      </c>
    </row>
    <row r="290" spans="48:48" x14ac:dyDescent="0.25">
      <c r="AV290">
        <v>539</v>
      </c>
    </row>
    <row r="291" spans="48:48" x14ac:dyDescent="0.25">
      <c r="AV291">
        <v>540</v>
      </c>
    </row>
    <row r="292" spans="48:48" x14ac:dyDescent="0.25">
      <c r="AV292">
        <v>541</v>
      </c>
    </row>
    <row r="293" spans="48:48" x14ac:dyDescent="0.25">
      <c r="AV293">
        <v>542</v>
      </c>
    </row>
    <row r="294" spans="48:48" x14ac:dyDescent="0.25">
      <c r="AV294">
        <v>543</v>
      </c>
    </row>
    <row r="295" spans="48:48" x14ac:dyDescent="0.25">
      <c r="AV295">
        <v>544</v>
      </c>
    </row>
    <row r="296" spans="48:48" x14ac:dyDescent="0.25">
      <c r="AV296">
        <v>545</v>
      </c>
    </row>
    <row r="297" spans="48:48" x14ac:dyDescent="0.25">
      <c r="AV297">
        <v>546</v>
      </c>
    </row>
    <row r="298" spans="48:48" x14ac:dyDescent="0.25">
      <c r="AV298">
        <v>547</v>
      </c>
    </row>
    <row r="299" spans="48:48" x14ac:dyDescent="0.25">
      <c r="AV299">
        <v>548</v>
      </c>
    </row>
    <row r="300" spans="48:48" x14ac:dyDescent="0.25">
      <c r="AV300">
        <v>549</v>
      </c>
    </row>
    <row r="301" spans="48:48" x14ac:dyDescent="0.25">
      <c r="AV301">
        <v>550</v>
      </c>
    </row>
    <row r="302" spans="48:48" x14ac:dyDescent="0.25">
      <c r="AV302">
        <v>551</v>
      </c>
    </row>
    <row r="303" spans="48:48" x14ac:dyDescent="0.25">
      <c r="AV303">
        <v>552</v>
      </c>
    </row>
  </sheetData>
  <mergeCells count="2">
    <mergeCell ref="J1:Z1"/>
    <mergeCell ref="AB1:AV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Figueroa</dc:creator>
  <cp:lastModifiedBy>Joshua Figueroa</cp:lastModifiedBy>
  <cp:lastPrinted>2020-03-24T15:41:24Z</cp:lastPrinted>
  <dcterms:created xsi:type="dcterms:W3CDTF">2020-03-18T17:23:06Z</dcterms:created>
  <dcterms:modified xsi:type="dcterms:W3CDTF">2020-03-25T14:06:49Z</dcterms:modified>
</cp:coreProperties>
</file>