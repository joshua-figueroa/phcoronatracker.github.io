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hua Figueroa\Desktop\PH COVID-19 Tracker\"/>
    </mc:Choice>
  </mc:AlternateContent>
  <xr:revisionPtr revIDLastSave="0" documentId="13_ncr:1_{A99AEEA1-3842-42F3-B2DC-5AC4499A51B9}" xr6:coauthVersionLast="45" xr6:coauthVersionMax="45" xr10:uidLastSave="{00000000-0000-0000-0000-000000000000}"/>
  <bookViews>
    <workbookView xWindow="-120" yWindow="-120" windowWidth="20730" windowHeight="11160" xr2:uid="{442F2033-4A85-41F1-867D-FDC34FDA5152}"/>
  </bookViews>
  <sheets>
    <sheet name="Sheet1" sheetId="1" r:id="rId1"/>
  </sheets>
  <functionGroups builtInGroupCount="19"/>
  <definedNames>
    <definedName name="SUM">Sheet1!$F$2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1" l="1"/>
  <c r="F5" i="1"/>
  <c r="B49" i="1"/>
  <c r="B48" i="1"/>
  <c r="B47" i="1"/>
  <c r="B46" i="1"/>
  <c r="B6" i="1"/>
  <c r="F11" i="1"/>
  <c r="B45" i="1"/>
  <c r="D49" i="1"/>
  <c r="C49" i="1"/>
  <c r="C48" i="1"/>
  <c r="D48" i="1"/>
  <c r="D47" i="1"/>
  <c r="C47" i="1"/>
  <c r="C46" i="1"/>
  <c r="G11" i="1"/>
  <c r="C11" i="1"/>
  <c r="D6" i="1"/>
  <c r="C6" i="1"/>
  <c r="D46" i="1"/>
  <c r="C45" i="1"/>
  <c r="B44" i="1" l="1"/>
  <c r="B43" i="1"/>
  <c r="B42" i="1"/>
  <c r="B41" i="1"/>
  <c r="B40" i="1"/>
  <c r="B38" i="1"/>
  <c r="B39" i="1"/>
  <c r="B37" i="1"/>
  <c r="D38" i="1"/>
  <c r="C41" i="1"/>
  <c r="D2" i="1"/>
  <c r="D44" i="1"/>
  <c r="C40" i="1"/>
  <c r="C38" i="1"/>
  <c r="D43" i="1"/>
  <c r="D42" i="1"/>
  <c r="D45" i="1"/>
  <c r="C37" i="1"/>
  <c r="D41" i="1"/>
  <c r="C39" i="1"/>
  <c r="D40" i="1"/>
  <c r="C43" i="1"/>
  <c r="C42" i="1"/>
  <c r="D39" i="1"/>
  <c r="C44" i="1"/>
  <c r="B36" i="1" l="1"/>
  <c r="B35" i="1"/>
  <c r="D37" i="1"/>
  <c r="D35" i="1"/>
  <c r="D36" i="1"/>
  <c r="C36" i="1"/>
  <c r="C35" i="1"/>
  <c r="B34" i="1" l="1"/>
  <c r="B33" i="1"/>
  <c r="D34" i="1"/>
  <c r="C34" i="1"/>
  <c r="C33" i="1"/>
  <c r="F8" i="1" l="1"/>
  <c r="B8" i="1"/>
  <c r="B9" i="1"/>
  <c r="B10" i="1"/>
  <c r="B11" i="1"/>
  <c r="B12" i="1"/>
  <c r="B13" i="1"/>
  <c r="B14" i="1"/>
  <c r="B15" i="1"/>
  <c r="B4" i="1"/>
  <c r="D3" i="1"/>
  <c r="C16" i="1"/>
  <c r="C10" i="1"/>
  <c r="H8" i="1"/>
  <c r="D22" i="1"/>
  <c r="D32" i="1"/>
  <c r="D10" i="1"/>
  <c r="D23" i="1"/>
  <c r="C30" i="1"/>
  <c r="D29" i="1"/>
  <c r="D14" i="1"/>
  <c r="D18" i="1"/>
  <c r="C22" i="1"/>
  <c r="D21" i="1"/>
  <c r="D26" i="1"/>
  <c r="C20" i="1"/>
  <c r="D28" i="1"/>
  <c r="D11" i="1"/>
  <c r="C3" i="1"/>
  <c r="D30" i="1"/>
  <c r="C8" i="1"/>
  <c r="C12" i="1"/>
  <c r="D9" i="1"/>
  <c r="G8" i="1"/>
  <c r="C26" i="1"/>
  <c r="C9" i="1"/>
  <c r="C4" i="1"/>
  <c r="D20" i="1"/>
  <c r="C23" i="1"/>
  <c r="C24" i="1"/>
  <c r="D16" i="1"/>
  <c r="D33" i="1"/>
  <c r="D12" i="1"/>
  <c r="D15" i="1"/>
  <c r="D31" i="1"/>
  <c r="C32" i="1"/>
  <c r="C29" i="1"/>
  <c r="C15" i="1"/>
  <c r="C2" i="1"/>
  <c r="D17" i="1"/>
  <c r="D19" i="1"/>
  <c r="C21" i="1"/>
  <c r="D7" i="1"/>
  <c r="D4" i="1"/>
  <c r="C31" i="1"/>
  <c r="D27" i="1"/>
  <c r="C14" i="1"/>
  <c r="C18" i="1"/>
  <c r="C5" i="1"/>
  <c r="D13" i="1"/>
  <c r="D25" i="1"/>
  <c r="C25" i="1"/>
  <c r="D8" i="1"/>
  <c r="C19" i="1"/>
  <c r="D5" i="1"/>
  <c r="C7" i="1"/>
  <c r="C13" i="1"/>
  <c r="C28" i="1"/>
  <c r="C27" i="1"/>
  <c r="D24" i="1"/>
  <c r="C17" i="1"/>
  <c r="H2" i="1" l="1"/>
  <c r="G2" i="1"/>
  <c r="H5" i="1"/>
  <c r="G5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7" i="1"/>
  <c r="B5" i="1"/>
  <c r="B2" i="1"/>
  <c r="B3" i="1"/>
</calcChain>
</file>

<file path=xl/sharedStrings.xml><?xml version="1.0" encoding="utf-8"?>
<sst xmlns="http://schemas.openxmlformats.org/spreadsheetml/2006/main" count="116" uniqueCount="84">
  <si>
    <t>Residency</t>
  </si>
  <si>
    <t>Taguig</t>
  </si>
  <si>
    <t>Count</t>
  </si>
  <si>
    <t>Rizal</t>
  </si>
  <si>
    <t>Pasig</t>
  </si>
  <si>
    <t>marikina</t>
  </si>
  <si>
    <t>QC</t>
  </si>
  <si>
    <t>San Juan</t>
  </si>
  <si>
    <t>Manila</t>
  </si>
  <si>
    <t>Pasay</t>
  </si>
  <si>
    <t>makati</t>
  </si>
  <si>
    <t>Cavite</t>
  </si>
  <si>
    <t>Bulacan</t>
  </si>
  <si>
    <t>Negros Oriental</t>
  </si>
  <si>
    <t>Cam Sur</t>
  </si>
  <si>
    <t>lanao del sur</t>
  </si>
  <si>
    <t>mandaluyong</t>
  </si>
  <si>
    <t>Batangas</t>
  </si>
  <si>
    <t>pampanga</t>
  </si>
  <si>
    <t>bataan</t>
  </si>
  <si>
    <t>quezon</t>
  </si>
  <si>
    <t>laguna</t>
  </si>
  <si>
    <t>abra</t>
  </si>
  <si>
    <t>caloocan</t>
  </si>
  <si>
    <t>tarlac</t>
  </si>
  <si>
    <t>muntinlupa</t>
  </si>
  <si>
    <t>Foreign</t>
  </si>
  <si>
    <t>davao de oro</t>
  </si>
  <si>
    <t>Valenzuela</t>
  </si>
  <si>
    <t>Negros Occidental</t>
  </si>
  <si>
    <t>Iloilo</t>
  </si>
  <si>
    <t>Nueva Ecija</t>
  </si>
  <si>
    <t>For Validation</t>
  </si>
  <si>
    <t>Death</t>
  </si>
  <si>
    <t>Total Count</t>
  </si>
  <si>
    <t>Total Death</t>
  </si>
  <si>
    <t>Total Recoveries</t>
  </si>
  <si>
    <t>Recoveries</t>
  </si>
  <si>
    <t>MM Count</t>
  </si>
  <si>
    <t>MM Death</t>
  </si>
  <si>
    <t>MM Recoveries</t>
  </si>
  <si>
    <t>Marikina</t>
  </si>
  <si>
    <t>Makati</t>
  </si>
  <si>
    <t>Las Pinas</t>
  </si>
  <si>
    <t>Mandaluyong</t>
  </si>
  <si>
    <t>Paranaque</t>
  </si>
  <si>
    <t>Muntinlupa</t>
  </si>
  <si>
    <t>Malabon</t>
  </si>
  <si>
    <t>Pateros</t>
  </si>
  <si>
    <t>Caloocan</t>
  </si>
  <si>
    <t>Navotas</t>
  </si>
  <si>
    <t xml:space="preserve">Cavite </t>
  </si>
  <si>
    <t>Laguna</t>
  </si>
  <si>
    <t>Bataan</t>
  </si>
  <si>
    <t>Lanao del sur</t>
  </si>
  <si>
    <t>Abra</t>
  </si>
  <si>
    <t>Cam sur</t>
  </si>
  <si>
    <t>Davao de Oro</t>
  </si>
  <si>
    <t>Pampanga</t>
  </si>
  <si>
    <t>Tarlac</t>
  </si>
  <si>
    <t>Quezon</t>
  </si>
  <si>
    <t>paranaque</t>
  </si>
  <si>
    <t>Cotabato city</t>
  </si>
  <si>
    <t>Cotabato City</t>
  </si>
  <si>
    <t>Patient List of Metro Manila Residents</t>
  </si>
  <si>
    <t>Patients List Outside of Metro Manila Residents</t>
  </si>
  <si>
    <t>Foreign Count</t>
  </si>
  <si>
    <t>Foreign Death</t>
  </si>
  <si>
    <t>Foreign Recoveries</t>
  </si>
  <si>
    <t>Cebu</t>
  </si>
  <si>
    <t>La Union</t>
  </si>
  <si>
    <t>Davao del Sur</t>
  </si>
  <si>
    <t>Palawan</t>
  </si>
  <si>
    <t>Cagayan</t>
  </si>
  <si>
    <t>Baguio City</t>
  </si>
  <si>
    <t>Lanao del Norte</t>
  </si>
  <si>
    <t>Capiz</t>
  </si>
  <si>
    <t>Misamis Oriental</t>
  </si>
  <si>
    <t>Sultan Kudarat</t>
  </si>
  <si>
    <t>Zamboanga del Sur</t>
  </si>
  <si>
    <t>Isabela</t>
  </si>
  <si>
    <t>For Validation Death</t>
  </si>
  <si>
    <t>Aklan</t>
  </si>
  <si>
    <t>Oriental Mindoro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</si>
</sst>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right"/>
    </xf>
    <xf numFmtId="0" fontId="0" fillId="0" borderId="0" xfId="0" applyAlignment="1">
      <alignment horizontal="right"/>
    </xf>
    <xf numFmtId="0" fontId="0" fillId="5" borderId="0" xfId="0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C4F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5AA71-33BA-44AE-8027-FC06F7E549FF}">
  <sheetPr codeName="Sheet2"/>
  <dimension ref="A1:BI482"/>
  <sheetViews>
    <sheetView tabSelected="1" topLeftCell="A32" workbookViewId="0">
      <selection activeCell="E51" sqref="E51"/>
    </sheetView>
  </sheetViews>
  <sheetFormatPr defaultRowHeight="15" x14ac:dyDescent="0.25"/>
  <cols>
    <col min="1" max="1" width="19.42578125" style="6" customWidth="1"/>
    <col min="4" max="4" width="11.85546875" customWidth="1"/>
    <col min="5" max="5" width="5.85546875" customWidth="1"/>
    <col min="6" max="6" width="15.5703125" customWidth="1"/>
    <col min="7" max="7" width="21.85546875" customWidth="1"/>
    <col min="8" max="8" width="18.85546875" customWidth="1"/>
    <col min="9" max="9" width="5.7109375" customWidth="1"/>
    <col min="10" max="10" width="8.7109375" customWidth="1"/>
    <col min="19" max="19" width="13.5703125" customWidth="1"/>
    <col min="20" max="20" width="12.140625" customWidth="1"/>
    <col min="21" max="21" width="12" customWidth="1"/>
    <col min="22" max="22" width="11.42578125" customWidth="1"/>
    <col min="23" max="23" width="11.7109375" customWidth="1"/>
    <col min="24" max="24" width="9.42578125" customWidth="1"/>
    <col min="31" max="31" width="16.5703125" customWidth="1"/>
    <col min="32" max="32" width="10.7109375" customWidth="1"/>
    <col min="35" max="35" width="13.140625" customWidth="1"/>
    <col min="36" max="36" width="11.85546875" customWidth="1"/>
    <col min="39" max="39" width="14.42578125" customWidth="1"/>
    <col min="40" max="40" width="13" customWidth="1"/>
    <col min="42" max="42" width="17.140625" customWidth="1"/>
    <col min="43" max="43" width="11.7109375" customWidth="1"/>
    <col min="47" max="47" width="12" customWidth="1"/>
    <col min="48" max="51" width="14.42578125" customWidth="1"/>
    <col min="52" max="52" width="17.7109375" customWidth="1"/>
    <col min="53" max="53" width="11.5703125" customWidth="1"/>
    <col min="54" max="55" width="17.5703125" customWidth="1"/>
    <col min="56" max="56" width="19.85546875" customWidth="1"/>
    <col min="57" max="57" width="12.85546875" customWidth="1"/>
    <col min="58" max="58" width="11.42578125" customWidth="1"/>
    <col min="59" max="59" width="20.85546875" customWidth="1"/>
    <col min="60" max="60" width="11" customWidth="1"/>
    <col min="61" max="61" width="17.5703125" customWidth="1"/>
  </cols>
  <sheetData>
    <row r="1" spans="1:61" x14ac:dyDescent="0.25">
      <c r="A1" s="5" t="s">
        <v>0</v>
      </c>
      <c r="B1" s="1" t="s">
        <v>2</v>
      </c>
      <c r="C1" s="2" t="s">
        <v>33</v>
      </c>
      <c r="D1" s="3" t="s">
        <v>37</v>
      </c>
      <c r="E1" s="4"/>
      <c r="F1" s="1" t="s">
        <v>34</v>
      </c>
      <c r="G1" s="2" t="s">
        <v>35</v>
      </c>
      <c r="H1" s="3" t="s">
        <v>36</v>
      </c>
      <c r="J1" s="11" t="s">
        <v>64</v>
      </c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B1" s="11" t="s">
        <v>65</v>
      </c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x14ac:dyDescent="0.25">
      <c r="A2" s="6" t="s">
        <v>1</v>
      </c>
      <c r="B2">
        <f>COUNT(J3:J98)</f>
        <v>19</v>
      </c>
      <c r="C2">
        <f ca="1">CountCellsByColor(J3:J98, C1)</f>
        <v>1</v>
      </c>
      <c r="D2">
        <f ca="1">CountCellsByColor(J3:J98, D1)</f>
        <v>1</v>
      </c>
      <c r="F2">
        <f>SUM(B2:B100, F8, F11)</f>
        <v>1000</v>
      </c>
      <c r="G2">
        <f ca="1">SUM(C2:C100, G8, G11)</f>
        <v>71</v>
      </c>
      <c r="H2">
        <f ca="1">SUM(D2:D100, H8)</f>
        <v>42</v>
      </c>
      <c r="J2" s="7" t="s">
        <v>1</v>
      </c>
      <c r="K2" s="7" t="s">
        <v>4</v>
      </c>
      <c r="L2" s="7" t="s">
        <v>41</v>
      </c>
      <c r="M2" s="7" t="s">
        <v>6</v>
      </c>
      <c r="N2" s="7" t="s">
        <v>7</v>
      </c>
      <c r="O2" s="7" t="s">
        <v>8</v>
      </c>
      <c r="P2" s="7" t="s">
        <v>9</v>
      </c>
      <c r="Q2" s="7" t="s">
        <v>42</v>
      </c>
      <c r="R2" s="7" t="s">
        <v>43</v>
      </c>
      <c r="S2" s="7" t="s">
        <v>44</v>
      </c>
      <c r="T2" s="7" t="s">
        <v>45</v>
      </c>
      <c r="U2" s="7" t="s">
        <v>46</v>
      </c>
      <c r="V2" s="7" t="s">
        <v>47</v>
      </c>
      <c r="W2" s="7" t="s">
        <v>28</v>
      </c>
      <c r="X2" s="7" t="s">
        <v>48</v>
      </c>
      <c r="Y2" s="7" t="s">
        <v>49</v>
      </c>
      <c r="Z2" s="7" t="s">
        <v>50</v>
      </c>
      <c r="AB2" s="7" t="s">
        <v>3</v>
      </c>
      <c r="AC2" s="7" t="s">
        <v>51</v>
      </c>
      <c r="AD2" s="7" t="s">
        <v>12</v>
      </c>
      <c r="AE2" s="7" t="s">
        <v>13</v>
      </c>
      <c r="AF2" s="7" t="s">
        <v>17</v>
      </c>
      <c r="AG2" s="7" t="s">
        <v>52</v>
      </c>
      <c r="AH2" s="7" t="s">
        <v>53</v>
      </c>
      <c r="AI2" s="7" t="s">
        <v>54</v>
      </c>
      <c r="AJ2" s="7" t="s">
        <v>31</v>
      </c>
      <c r="AK2" s="7" t="s">
        <v>55</v>
      </c>
      <c r="AL2" s="7" t="s">
        <v>56</v>
      </c>
      <c r="AM2" s="7" t="s">
        <v>63</v>
      </c>
      <c r="AN2" s="7" t="s">
        <v>57</v>
      </c>
      <c r="AO2" s="7" t="s">
        <v>30</v>
      </c>
      <c r="AP2" s="7" t="s">
        <v>29</v>
      </c>
      <c r="AQ2" s="7" t="s">
        <v>58</v>
      </c>
      <c r="AR2" s="7" t="s">
        <v>59</v>
      </c>
      <c r="AS2" s="7" t="s">
        <v>60</v>
      </c>
      <c r="AT2" s="7" t="s">
        <v>69</v>
      </c>
      <c r="AU2" s="7" t="s">
        <v>70</v>
      </c>
      <c r="AV2" s="7" t="s">
        <v>71</v>
      </c>
      <c r="AW2" s="7" t="s">
        <v>72</v>
      </c>
      <c r="AX2" s="7" t="s">
        <v>73</v>
      </c>
      <c r="AY2" s="7" t="s">
        <v>74</v>
      </c>
      <c r="AZ2" s="7" t="s">
        <v>75</v>
      </c>
      <c r="BA2" s="7" t="s">
        <v>76</v>
      </c>
      <c r="BB2" s="7" t="s">
        <v>77</v>
      </c>
      <c r="BC2" s="7" t="s">
        <v>78</v>
      </c>
      <c r="BD2" s="7" t="s">
        <v>79</v>
      </c>
      <c r="BE2" s="7" t="s">
        <v>80</v>
      </c>
      <c r="BF2" s="7" t="s">
        <v>82</v>
      </c>
      <c r="BG2" s="7" t="s">
        <v>83</v>
      </c>
      <c r="BH2" s="7" t="s">
        <v>26</v>
      </c>
      <c r="BI2" s="7" t="s">
        <v>32</v>
      </c>
    </row>
    <row r="3" spans="1:61" x14ac:dyDescent="0.25">
      <c r="A3" s="6" t="s">
        <v>3</v>
      </c>
      <c r="B3">
        <f>COUNT(AB3:AB98)</f>
        <v>28</v>
      </c>
      <c r="C3">
        <f ca="1">CountCellsByColor(AB3:AB98, C1)</f>
        <v>5</v>
      </c>
      <c r="D3">
        <f ca="1">CountCellsByColor(AB3:AB98, D1)</f>
        <v>1</v>
      </c>
      <c r="J3" s="9">
        <v>4</v>
      </c>
      <c r="K3">
        <v>8</v>
      </c>
      <c r="L3" s="8">
        <v>9</v>
      </c>
      <c r="M3" s="9">
        <v>10</v>
      </c>
      <c r="N3" s="9">
        <v>11</v>
      </c>
      <c r="O3" s="8">
        <v>12</v>
      </c>
      <c r="P3" s="9">
        <v>14</v>
      </c>
      <c r="Q3" s="9">
        <v>7</v>
      </c>
      <c r="R3">
        <v>36</v>
      </c>
      <c r="S3">
        <v>47</v>
      </c>
      <c r="T3">
        <v>56</v>
      </c>
      <c r="U3">
        <v>151</v>
      </c>
      <c r="V3">
        <v>400</v>
      </c>
      <c r="W3">
        <v>211</v>
      </c>
      <c r="X3">
        <v>307</v>
      </c>
      <c r="Y3">
        <v>46</v>
      </c>
      <c r="AB3" s="8">
        <v>5</v>
      </c>
      <c r="AC3" s="9">
        <v>20</v>
      </c>
      <c r="AD3">
        <v>21</v>
      </c>
      <c r="AE3" s="9">
        <v>25</v>
      </c>
      <c r="AF3" s="9">
        <v>49</v>
      </c>
      <c r="AG3">
        <v>59</v>
      </c>
      <c r="AH3">
        <v>64</v>
      </c>
      <c r="AI3" s="8">
        <v>40</v>
      </c>
      <c r="AJ3">
        <v>285</v>
      </c>
      <c r="AK3">
        <v>96</v>
      </c>
      <c r="AL3" s="9">
        <v>26</v>
      </c>
      <c r="AM3">
        <v>145</v>
      </c>
      <c r="AN3" s="9">
        <v>130</v>
      </c>
      <c r="AO3">
        <v>284</v>
      </c>
      <c r="AP3">
        <v>267</v>
      </c>
      <c r="AQ3">
        <v>63</v>
      </c>
      <c r="AR3" s="9">
        <v>122</v>
      </c>
      <c r="AS3">
        <v>70</v>
      </c>
      <c r="AT3">
        <v>188</v>
      </c>
      <c r="AU3">
        <v>244</v>
      </c>
      <c r="AV3">
        <v>262</v>
      </c>
      <c r="AW3">
        <v>273</v>
      </c>
      <c r="AX3">
        <v>275</v>
      </c>
      <c r="AY3">
        <v>441</v>
      </c>
      <c r="AZ3">
        <v>492</v>
      </c>
      <c r="BA3">
        <v>573</v>
      </c>
      <c r="BB3">
        <v>597</v>
      </c>
      <c r="BC3" s="8">
        <v>600</v>
      </c>
      <c r="BD3">
        <v>613</v>
      </c>
      <c r="BE3">
        <v>801</v>
      </c>
      <c r="BF3">
        <v>915</v>
      </c>
      <c r="BG3">
        <v>990</v>
      </c>
      <c r="BH3" s="9">
        <v>1</v>
      </c>
      <c r="BI3">
        <v>159</v>
      </c>
    </row>
    <row r="4" spans="1:61" x14ac:dyDescent="0.25">
      <c r="A4" s="6" t="s">
        <v>4</v>
      </c>
      <c r="B4">
        <f>COUNT(K3:K97)</f>
        <v>38</v>
      </c>
      <c r="C4">
        <f ca="1">CountCellsByColor(K3:K97, C1)</f>
        <v>4</v>
      </c>
      <c r="D4">
        <f ca="1">CountCellsByColor(K3:K97, D1)</f>
        <v>5</v>
      </c>
      <c r="F4" s="1" t="s">
        <v>38</v>
      </c>
      <c r="G4" s="2" t="s">
        <v>39</v>
      </c>
      <c r="H4" s="3" t="s">
        <v>40</v>
      </c>
      <c r="J4">
        <v>84</v>
      </c>
      <c r="K4" s="9">
        <v>18</v>
      </c>
      <c r="L4">
        <v>27</v>
      </c>
      <c r="M4" s="9">
        <v>13</v>
      </c>
      <c r="N4" s="9">
        <v>16</v>
      </c>
      <c r="O4">
        <v>67</v>
      </c>
      <c r="P4">
        <v>83</v>
      </c>
      <c r="Q4" s="9">
        <v>15</v>
      </c>
      <c r="R4">
        <v>138</v>
      </c>
      <c r="S4">
        <v>53</v>
      </c>
      <c r="T4">
        <v>85</v>
      </c>
      <c r="U4">
        <v>154</v>
      </c>
      <c r="W4">
        <v>330</v>
      </c>
      <c r="Y4">
        <v>103</v>
      </c>
      <c r="AB4" s="8">
        <v>6</v>
      </c>
      <c r="AC4">
        <v>81</v>
      </c>
      <c r="AD4" s="8">
        <v>57</v>
      </c>
      <c r="AE4" s="8">
        <v>39</v>
      </c>
      <c r="AF4" s="8">
        <v>52</v>
      </c>
      <c r="AG4">
        <v>72</v>
      </c>
      <c r="AH4">
        <v>303</v>
      </c>
      <c r="AI4" s="8">
        <v>201</v>
      </c>
      <c r="AJ4">
        <v>286</v>
      </c>
      <c r="AO4">
        <v>574</v>
      </c>
      <c r="AP4">
        <v>618</v>
      </c>
      <c r="AQ4" s="8">
        <v>89</v>
      </c>
      <c r="AU4">
        <v>245</v>
      </c>
      <c r="AV4">
        <v>263</v>
      </c>
      <c r="AX4">
        <v>839</v>
      </c>
      <c r="AY4">
        <v>684</v>
      </c>
      <c r="BB4">
        <v>598</v>
      </c>
      <c r="BE4">
        <v>837</v>
      </c>
      <c r="BH4" s="8">
        <v>2</v>
      </c>
      <c r="BI4">
        <v>193</v>
      </c>
    </row>
    <row r="5" spans="1:61" x14ac:dyDescent="0.25">
      <c r="A5" s="6" t="s">
        <v>5</v>
      </c>
      <c r="B5">
        <f>COUNT(L3:L98)</f>
        <v>11</v>
      </c>
      <c r="C5">
        <f ca="1">CountCellsByColor(L3:L98, C1)</f>
        <v>2</v>
      </c>
      <c r="D5">
        <f ca="1">CountCellsByColor(L3:L98, D1)</f>
        <v>1</v>
      </c>
      <c r="F5">
        <f>SUM(B2,B4:B10,B15,B17,B25,B19,B28, B30, B39, B49)</f>
        <v>394</v>
      </c>
      <c r="G5">
        <f ca="1">SUM(C2,C4:C10,C15,C17,C25,C19,C28, C30, C39, C49)</f>
        <v>50</v>
      </c>
      <c r="H5">
        <f ca="1">SUM(D2,D4:D10,D15,D17,D25,D19,D28, D30, D39, D49)</f>
        <v>32</v>
      </c>
      <c r="J5">
        <v>108</v>
      </c>
      <c r="K5" s="9">
        <v>19</v>
      </c>
      <c r="L5" s="9">
        <v>28</v>
      </c>
      <c r="M5">
        <v>24</v>
      </c>
      <c r="N5" s="9">
        <v>17</v>
      </c>
      <c r="O5" s="9">
        <v>73</v>
      </c>
      <c r="P5">
        <v>340</v>
      </c>
      <c r="Q5">
        <v>33</v>
      </c>
      <c r="R5">
        <v>157</v>
      </c>
      <c r="S5">
        <v>69</v>
      </c>
      <c r="T5">
        <v>119</v>
      </c>
      <c r="U5">
        <v>156</v>
      </c>
      <c r="Y5">
        <v>104</v>
      </c>
      <c r="AB5">
        <v>38</v>
      </c>
      <c r="AC5">
        <v>136</v>
      </c>
      <c r="AD5">
        <v>99</v>
      </c>
      <c r="AF5" s="9">
        <v>95</v>
      </c>
      <c r="AG5" s="8">
        <v>327</v>
      </c>
      <c r="AI5">
        <v>596</v>
      </c>
      <c r="AO5">
        <v>777</v>
      </c>
      <c r="AP5">
        <v>918</v>
      </c>
      <c r="AQ5" s="8">
        <v>636</v>
      </c>
      <c r="AV5">
        <v>707</v>
      </c>
      <c r="AX5">
        <v>841</v>
      </c>
      <c r="BE5">
        <v>838</v>
      </c>
      <c r="BH5" s="9">
        <v>3</v>
      </c>
      <c r="BI5">
        <v>232</v>
      </c>
    </row>
    <row r="6" spans="1:61" x14ac:dyDescent="0.25">
      <c r="A6" s="6" t="s">
        <v>6</v>
      </c>
      <c r="B6">
        <f>COUNT(M3:M150)</f>
        <v>105</v>
      </c>
      <c r="C6">
        <f ca="1">CountCellsByColor(M3:M150, C1)</f>
        <v>20</v>
      </c>
      <c r="D6">
        <f ca="1">CountCellsByColor(M3:M150, D1)</f>
        <v>9</v>
      </c>
      <c r="J6">
        <v>110</v>
      </c>
      <c r="K6" s="8">
        <v>37</v>
      </c>
      <c r="L6" s="8">
        <v>29</v>
      </c>
      <c r="M6">
        <v>45</v>
      </c>
      <c r="N6" s="9">
        <v>22</v>
      </c>
      <c r="O6">
        <v>78</v>
      </c>
      <c r="P6">
        <v>380</v>
      </c>
      <c r="Q6">
        <v>34</v>
      </c>
      <c r="R6">
        <v>158</v>
      </c>
      <c r="S6">
        <v>97</v>
      </c>
      <c r="T6">
        <v>127</v>
      </c>
      <c r="U6">
        <v>364</v>
      </c>
      <c r="Y6" s="9">
        <v>114</v>
      </c>
      <c r="AB6" s="9">
        <v>62</v>
      </c>
      <c r="AC6">
        <v>139</v>
      </c>
      <c r="AD6">
        <v>113</v>
      </c>
      <c r="AF6">
        <v>183</v>
      </c>
      <c r="AG6">
        <v>356</v>
      </c>
      <c r="AO6" s="8">
        <v>900</v>
      </c>
      <c r="AV6">
        <v>442</v>
      </c>
      <c r="AX6">
        <v>893</v>
      </c>
      <c r="BE6">
        <v>840</v>
      </c>
      <c r="BI6">
        <v>243</v>
      </c>
    </row>
    <row r="7" spans="1:61" x14ac:dyDescent="0.25">
      <c r="A7" s="6" t="s">
        <v>7</v>
      </c>
      <c r="B7">
        <f>COUNT(N3:N98)</f>
        <v>61</v>
      </c>
      <c r="C7">
        <f ca="1">CountCellsByColor(N3:N98, C1)</f>
        <v>7</v>
      </c>
      <c r="D7">
        <f ca="1">CountCellsByColor(N3:N98, D1)</f>
        <v>7</v>
      </c>
      <c r="F7" s="1" t="s">
        <v>66</v>
      </c>
      <c r="G7" s="2" t="s">
        <v>67</v>
      </c>
      <c r="H7" s="3" t="s">
        <v>68</v>
      </c>
      <c r="J7">
        <v>150</v>
      </c>
      <c r="K7" s="9">
        <v>42</v>
      </c>
      <c r="L7">
        <v>30</v>
      </c>
      <c r="M7">
        <v>50</v>
      </c>
      <c r="N7" s="9">
        <v>23</v>
      </c>
      <c r="O7">
        <v>121</v>
      </c>
      <c r="P7">
        <v>580</v>
      </c>
      <c r="Q7" s="8">
        <v>35</v>
      </c>
      <c r="R7">
        <v>196</v>
      </c>
      <c r="S7">
        <v>105</v>
      </c>
      <c r="T7">
        <v>140</v>
      </c>
      <c r="U7">
        <v>365</v>
      </c>
      <c r="Y7">
        <v>175</v>
      </c>
      <c r="AB7">
        <v>77</v>
      </c>
      <c r="AC7">
        <v>155</v>
      </c>
      <c r="AD7">
        <v>116</v>
      </c>
      <c r="AF7">
        <v>240</v>
      </c>
      <c r="AG7">
        <v>357</v>
      </c>
      <c r="BI7">
        <v>289</v>
      </c>
    </row>
    <row r="8" spans="1:61" x14ac:dyDescent="0.25">
      <c r="A8" s="6" t="s">
        <v>8</v>
      </c>
      <c r="B8">
        <f>COUNT(O3:O99)</f>
        <v>43</v>
      </c>
      <c r="C8">
        <f ca="1">CountCellsByColor(O3:O99, C1)</f>
        <v>7</v>
      </c>
      <c r="D8">
        <f ca="1">CountCellsByColor(O3:O99, D1)</f>
        <v>1</v>
      </c>
      <c r="F8">
        <f>COUNT(BH3:BH100)</f>
        <v>3</v>
      </c>
      <c r="G8">
        <f ca="1">CountCellsByColor(BH3:BH98, C1)</f>
        <v>1</v>
      </c>
      <c r="H8">
        <f ca="1">CountCellsByColor(BH3:BH98, D1)</f>
        <v>2</v>
      </c>
      <c r="J8">
        <v>179</v>
      </c>
      <c r="K8" s="8">
        <v>54</v>
      </c>
      <c r="L8">
        <v>128</v>
      </c>
      <c r="M8" s="9">
        <v>51</v>
      </c>
      <c r="N8" s="9">
        <v>31</v>
      </c>
      <c r="O8">
        <v>123</v>
      </c>
      <c r="P8">
        <v>323</v>
      </c>
      <c r="Q8" s="9">
        <v>41</v>
      </c>
      <c r="R8">
        <v>336</v>
      </c>
      <c r="S8">
        <v>131</v>
      </c>
      <c r="T8">
        <v>141</v>
      </c>
      <c r="U8" s="8">
        <v>366</v>
      </c>
      <c r="Y8">
        <v>187</v>
      </c>
      <c r="AB8" s="8">
        <v>126</v>
      </c>
      <c r="AC8">
        <v>177</v>
      </c>
      <c r="AD8">
        <v>152</v>
      </c>
      <c r="AF8">
        <v>355</v>
      </c>
      <c r="AG8">
        <v>360</v>
      </c>
      <c r="BI8">
        <v>290</v>
      </c>
    </row>
    <row r="9" spans="1:61" x14ac:dyDescent="0.25">
      <c r="A9" s="6" t="s">
        <v>9</v>
      </c>
      <c r="B9">
        <f>COUNT(P3:P98)</f>
        <v>6</v>
      </c>
      <c r="C9">
        <f ca="1">CountCellsByColor(P3:P98, C1)</f>
        <v>0</v>
      </c>
      <c r="D9">
        <f ca="1">CountCellsByColor(P3:P98, D1)</f>
        <v>1</v>
      </c>
      <c r="J9">
        <v>251</v>
      </c>
      <c r="K9" s="9">
        <v>66</v>
      </c>
      <c r="L9">
        <v>222</v>
      </c>
      <c r="M9">
        <v>55</v>
      </c>
      <c r="N9">
        <v>32</v>
      </c>
      <c r="O9">
        <v>125</v>
      </c>
      <c r="Q9">
        <v>43</v>
      </c>
      <c r="R9">
        <v>359</v>
      </c>
      <c r="S9">
        <v>147</v>
      </c>
      <c r="T9">
        <v>153</v>
      </c>
      <c r="U9" s="8">
        <v>571</v>
      </c>
      <c r="Y9">
        <v>248</v>
      </c>
      <c r="AB9">
        <v>137</v>
      </c>
      <c r="AC9">
        <v>202</v>
      </c>
      <c r="AD9" s="8">
        <v>304</v>
      </c>
      <c r="AF9">
        <v>368</v>
      </c>
      <c r="AG9">
        <v>362</v>
      </c>
      <c r="BI9">
        <v>291</v>
      </c>
    </row>
    <row r="10" spans="1:61" x14ac:dyDescent="0.25">
      <c r="A10" s="6" t="s">
        <v>10</v>
      </c>
      <c r="B10">
        <f>COUNT(Q3:Q98)</f>
        <v>38</v>
      </c>
      <c r="C10">
        <f ca="1">CountCellsByColor(Q3:Q98, C1)</f>
        <v>2</v>
      </c>
      <c r="D10">
        <f ca="1">CountCellsByColor(Q3:Q98, D1)</f>
        <v>5</v>
      </c>
      <c r="F10" s="7" t="s">
        <v>32</v>
      </c>
      <c r="G10" s="12" t="s">
        <v>81</v>
      </c>
      <c r="J10">
        <v>256</v>
      </c>
      <c r="K10">
        <v>75</v>
      </c>
      <c r="L10">
        <v>672</v>
      </c>
      <c r="M10">
        <v>68</v>
      </c>
      <c r="N10">
        <v>48</v>
      </c>
      <c r="O10">
        <v>161</v>
      </c>
      <c r="Q10">
        <v>44</v>
      </c>
      <c r="R10">
        <v>572</v>
      </c>
      <c r="S10">
        <v>189</v>
      </c>
      <c r="T10">
        <v>182</v>
      </c>
      <c r="Y10" s="8">
        <v>677</v>
      </c>
      <c r="AB10">
        <v>171</v>
      </c>
      <c r="AC10">
        <v>231</v>
      </c>
      <c r="AD10">
        <v>329</v>
      </c>
      <c r="AF10">
        <v>94</v>
      </c>
      <c r="AG10">
        <v>406</v>
      </c>
      <c r="BI10">
        <v>292</v>
      </c>
    </row>
    <row r="11" spans="1:61" x14ac:dyDescent="0.25">
      <c r="A11" s="6" t="s">
        <v>11</v>
      </c>
      <c r="B11">
        <f>COUNT(AC3:AC98)</f>
        <v>14</v>
      </c>
      <c r="C11">
        <f ca="1">CountCellsByColor(AC3:AC98, C1)</f>
        <v>2</v>
      </c>
      <c r="D11">
        <f ca="1">CountCellsByColor(AC3:AC98, D1)</f>
        <v>1</v>
      </c>
      <c r="F11">
        <f>COUNT(BI3:BI590)</f>
        <v>480</v>
      </c>
      <c r="G11">
        <f ca="1">CountCellsByColor(BI3:BI793,C1)</f>
        <v>1</v>
      </c>
      <c r="J11">
        <v>337</v>
      </c>
      <c r="K11">
        <v>106</v>
      </c>
      <c r="L11">
        <v>700</v>
      </c>
      <c r="M11">
        <v>74</v>
      </c>
      <c r="N11">
        <v>61</v>
      </c>
      <c r="O11">
        <v>165</v>
      </c>
      <c r="Q11">
        <v>58</v>
      </c>
      <c r="S11">
        <v>242</v>
      </c>
      <c r="T11" s="8">
        <v>349</v>
      </c>
      <c r="AB11">
        <v>172</v>
      </c>
      <c r="AC11">
        <v>233</v>
      </c>
      <c r="AD11" s="8">
        <v>277</v>
      </c>
      <c r="AF11">
        <v>495</v>
      </c>
      <c r="AG11">
        <v>561</v>
      </c>
      <c r="BI11">
        <v>293</v>
      </c>
    </row>
    <row r="12" spans="1:61" x14ac:dyDescent="0.25">
      <c r="A12" s="6" t="s">
        <v>12</v>
      </c>
      <c r="B12">
        <f>COUNT(AD3:AD99)</f>
        <v>11</v>
      </c>
      <c r="C12">
        <f ca="1">CountCellsByColor(AD3:AD98, C1)</f>
        <v>3</v>
      </c>
      <c r="D12">
        <f ca="1">CountCellsByColor(AD3:AD98, D1)</f>
        <v>0</v>
      </c>
      <c r="J12">
        <v>344</v>
      </c>
      <c r="K12" s="9">
        <v>109</v>
      </c>
      <c r="L12">
        <v>350</v>
      </c>
      <c r="M12" s="9">
        <v>82</v>
      </c>
      <c r="N12">
        <v>65</v>
      </c>
      <c r="O12">
        <v>166</v>
      </c>
      <c r="Q12">
        <v>60</v>
      </c>
      <c r="S12">
        <v>252</v>
      </c>
      <c r="T12" s="8">
        <v>367</v>
      </c>
      <c r="AB12">
        <v>203</v>
      </c>
      <c r="AC12">
        <v>238</v>
      </c>
      <c r="AD12">
        <v>413</v>
      </c>
      <c r="AG12">
        <v>668</v>
      </c>
      <c r="BI12">
        <v>302</v>
      </c>
    </row>
    <row r="13" spans="1:61" x14ac:dyDescent="0.25">
      <c r="A13" s="6" t="s">
        <v>13</v>
      </c>
      <c r="B13">
        <f>COUNT(AE3:AE100)</f>
        <v>2</v>
      </c>
      <c r="C13">
        <f ca="1">CountCellsByColor(AE3:AE98, C1)</f>
        <v>1</v>
      </c>
      <c r="D13">
        <f ca="1">CountCellsByColor(AE3:AE98, D1)</f>
        <v>1</v>
      </c>
      <c r="J13">
        <v>345</v>
      </c>
      <c r="K13">
        <v>111</v>
      </c>
      <c r="L13">
        <v>434</v>
      </c>
      <c r="M13">
        <v>86</v>
      </c>
      <c r="N13">
        <v>71</v>
      </c>
      <c r="O13" s="8">
        <v>178</v>
      </c>
      <c r="Q13" s="8">
        <v>79</v>
      </c>
      <c r="S13">
        <v>254</v>
      </c>
      <c r="T13">
        <v>295</v>
      </c>
      <c r="AB13">
        <v>207</v>
      </c>
      <c r="AC13" s="8">
        <v>239</v>
      </c>
      <c r="AD13" s="10">
        <v>423</v>
      </c>
      <c r="BI13">
        <v>311</v>
      </c>
    </row>
    <row r="14" spans="1:61" x14ac:dyDescent="0.25">
      <c r="A14" s="6" t="s">
        <v>14</v>
      </c>
      <c r="B14">
        <f>COUNT(AL3:AL101)</f>
        <v>1</v>
      </c>
      <c r="C14">
        <f ca="1">CountCellsByColor(AL3:AL98, C1)</f>
        <v>0</v>
      </c>
      <c r="D14">
        <f ca="1">CountCellsByColor(AL3:AL98, D1)</f>
        <v>1</v>
      </c>
      <c r="J14">
        <v>525</v>
      </c>
      <c r="K14">
        <v>185</v>
      </c>
      <c r="M14" s="9">
        <v>87</v>
      </c>
      <c r="N14">
        <v>76</v>
      </c>
      <c r="O14">
        <v>181</v>
      </c>
      <c r="Q14">
        <v>92</v>
      </c>
      <c r="S14">
        <v>324</v>
      </c>
      <c r="T14">
        <v>361</v>
      </c>
      <c r="AB14" s="8">
        <v>321</v>
      </c>
      <c r="AC14">
        <v>363</v>
      </c>
      <c r="BI14">
        <v>314</v>
      </c>
    </row>
    <row r="15" spans="1:61" x14ac:dyDescent="0.25">
      <c r="A15" s="6" t="s">
        <v>43</v>
      </c>
      <c r="B15">
        <f>COUNT(R3:R102)</f>
        <v>8</v>
      </c>
      <c r="C15">
        <f ca="1">CountCellsByColor(R3:R98, C1)</f>
        <v>0</v>
      </c>
      <c r="D15">
        <f ca="1">CountCellsByColor(R3:R98, D1)</f>
        <v>0</v>
      </c>
      <c r="J15">
        <v>546</v>
      </c>
      <c r="K15">
        <v>198</v>
      </c>
      <c r="M15">
        <v>91</v>
      </c>
      <c r="N15">
        <v>80</v>
      </c>
      <c r="O15">
        <v>213</v>
      </c>
      <c r="Q15">
        <v>102</v>
      </c>
      <c r="S15" s="8">
        <v>281</v>
      </c>
      <c r="T15">
        <v>544</v>
      </c>
      <c r="AB15">
        <v>246</v>
      </c>
      <c r="AC15">
        <v>381</v>
      </c>
      <c r="BI15">
        <v>322</v>
      </c>
    </row>
    <row r="16" spans="1:61" x14ac:dyDescent="0.25">
      <c r="A16" s="6" t="s">
        <v>15</v>
      </c>
      <c r="B16">
        <f>COUNT(AI3:AI103)</f>
        <v>3</v>
      </c>
      <c r="C16">
        <f ca="1">CountCellsByColor(AI3:AI98, C1)</f>
        <v>2</v>
      </c>
      <c r="D16">
        <f ca="1">CountCellsByColor(AI3:AI98, D1)</f>
        <v>0</v>
      </c>
      <c r="J16">
        <v>547</v>
      </c>
      <c r="K16">
        <v>199</v>
      </c>
      <c r="M16">
        <v>93</v>
      </c>
      <c r="N16" s="9">
        <v>88</v>
      </c>
      <c r="O16">
        <v>186</v>
      </c>
      <c r="Q16" s="9">
        <v>112</v>
      </c>
      <c r="S16">
        <v>218</v>
      </c>
      <c r="T16" s="8">
        <v>635</v>
      </c>
      <c r="AB16">
        <v>312</v>
      </c>
      <c r="AC16" s="8">
        <v>462</v>
      </c>
      <c r="BI16">
        <v>353</v>
      </c>
    </row>
    <row r="17" spans="1:61" x14ac:dyDescent="0.25">
      <c r="A17" s="6" t="s">
        <v>16</v>
      </c>
      <c r="B17">
        <f>COUNT(S3:S104)</f>
        <v>24</v>
      </c>
      <c r="C17">
        <f ca="1">CountCellsByColor(S3:S98, C1)</f>
        <v>1</v>
      </c>
      <c r="D17">
        <f ca="1">CountCellsByColor(S3:S98, D1)</f>
        <v>0</v>
      </c>
      <c r="J17">
        <v>579</v>
      </c>
      <c r="K17">
        <v>206</v>
      </c>
      <c r="M17">
        <v>100</v>
      </c>
      <c r="N17">
        <v>90</v>
      </c>
      <c r="O17">
        <v>225</v>
      </c>
      <c r="Q17">
        <v>132</v>
      </c>
      <c r="S17">
        <v>230</v>
      </c>
      <c r="T17">
        <v>647</v>
      </c>
      <c r="AB17">
        <v>313</v>
      </c>
      <c r="BI17">
        <v>370</v>
      </c>
    </row>
    <row r="18" spans="1:61" x14ac:dyDescent="0.25">
      <c r="A18" s="6" t="s">
        <v>17</v>
      </c>
      <c r="B18">
        <f>COUNT(AF3:AF105)</f>
        <v>9</v>
      </c>
      <c r="C18">
        <f ca="1">CountCellsByColor(AF3:AF98, C1)</f>
        <v>1</v>
      </c>
      <c r="D18">
        <f ca="1">CountCellsByColor(AF3:AF98, D1)</f>
        <v>2</v>
      </c>
      <c r="J18" s="8">
        <v>581</v>
      </c>
      <c r="K18">
        <v>217</v>
      </c>
      <c r="M18">
        <v>101</v>
      </c>
      <c r="N18">
        <v>98</v>
      </c>
      <c r="O18">
        <v>269</v>
      </c>
      <c r="Q18">
        <v>149</v>
      </c>
      <c r="S18">
        <v>258</v>
      </c>
      <c r="T18" s="9">
        <v>235</v>
      </c>
      <c r="AB18" s="8">
        <v>354</v>
      </c>
      <c r="BI18">
        <v>384</v>
      </c>
    </row>
    <row r="19" spans="1:61" x14ac:dyDescent="0.25">
      <c r="A19" s="6" t="s">
        <v>61</v>
      </c>
      <c r="B19">
        <f>COUNT(T3:T106)</f>
        <v>22</v>
      </c>
      <c r="C19">
        <f ca="1">CountCellsByColor(T3:T98, C1)</f>
        <v>3</v>
      </c>
      <c r="D19">
        <f ca="1">CountCellsByColor(T3:T98, D1)</f>
        <v>1</v>
      </c>
      <c r="J19">
        <v>615</v>
      </c>
      <c r="K19">
        <v>219</v>
      </c>
      <c r="M19">
        <v>107</v>
      </c>
      <c r="N19">
        <v>133</v>
      </c>
      <c r="O19">
        <v>288</v>
      </c>
      <c r="Q19">
        <v>164</v>
      </c>
      <c r="S19">
        <v>280</v>
      </c>
      <c r="T19">
        <v>935</v>
      </c>
      <c r="AB19">
        <v>372</v>
      </c>
      <c r="BI19">
        <v>387</v>
      </c>
    </row>
    <row r="20" spans="1:61" x14ac:dyDescent="0.25">
      <c r="A20" s="6" t="s">
        <v>18</v>
      </c>
      <c r="B20">
        <f>COUNT(AQ3:AQ107)</f>
        <v>3</v>
      </c>
      <c r="C20">
        <f ca="1">CountCellsByColor(AQ3:AQ98, C1)</f>
        <v>2</v>
      </c>
      <c r="D20">
        <f ca="1">CountCellsByColor(AQ3:AQ98, D1)</f>
        <v>0</v>
      </c>
      <c r="J20">
        <v>633</v>
      </c>
      <c r="K20">
        <v>259</v>
      </c>
      <c r="M20">
        <v>115</v>
      </c>
      <c r="N20">
        <v>144</v>
      </c>
      <c r="O20">
        <v>301</v>
      </c>
      <c r="Q20">
        <v>173</v>
      </c>
      <c r="S20">
        <v>282</v>
      </c>
      <c r="T20">
        <v>318</v>
      </c>
      <c r="AB20">
        <v>376</v>
      </c>
      <c r="BI20">
        <v>388</v>
      </c>
    </row>
    <row r="21" spans="1:61" x14ac:dyDescent="0.25">
      <c r="A21" s="6" t="s">
        <v>19</v>
      </c>
      <c r="B21">
        <f>COUNT(AH3:AH108)</f>
        <v>2</v>
      </c>
      <c r="C21">
        <f ca="1">CountCellsByColor(AH3:AH98, C1)</f>
        <v>0</v>
      </c>
      <c r="D21">
        <f ca="1">CountCellsByColor(AH3:AH98, D1)</f>
        <v>0</v>
      </c>
      <c r="J21">
        <v>315</v>
      </c>
      <c r="K21">
        <v>260</v>
      </c>
      <c r="M21">
        <v>117</v>
      </c>
      <c r="N21">
        <v>148</v>
      </c>
      <c r="O21">
        <v>305</v>
      </c>
      <c r="Q21">
        <v>241</v>
      </c>
      <c r="S21">
        <v>407</v>
      </c>
      <c r="T21">
        <v>386</v>
      </c>
      <c r="AB21">
        <v>377</v>
      </c>
      <c r="BI21">
        <v>390</v>
      </c>
    </row>
    <row r="22" spans="1:61" x14ac:dyDescent="0.25">
      <c r="A22" s="6" t="s">
        <v>20</v>
      </c>
      <c r="B22">
        <f>COUNT(AS3:AS109)</f>
        <v>1</v>
      </c>
      <c r="C22">
        <f ca="1">CountCellsByColor(AS3:AS98, C1)</f>
        <v>0</v>
      </c>
      <c r="D22">
        <f ca="1">CountCellsByColor(AS3:AS98, D1)</f>
        <v>0</v>
      </c>
      <c r="K22">
        <v>184</v>
      </c>
      <c r="M22">
        <v>118</v>
      </c>
      <c r="N22" s="8">
        <v>160</v>
      </c>
      <c r="O22">
        <v>338</v>
      </c>
      <c r="Q22">
        <v>253</v>
      </c>
      <c r="S22">
        <v>507</v>
      </c>
      <c r="T22">
        <v>416</v>
      </c>
      <c r="AB22">
        <v>396</v>
      </c>
      <c r="BI22">
        <v>395</v>
      </c>
    </row>
    <row r="23" spans="1:61" x14ac:dyDescent="0.25">
      <c r="A23" s="6" t="s">
        <v>21</v>
      </c>
      <c r="B23">
        <f>COUNT(AG3:AG100)</f>
        <v>10</v>
      </c>
      <c r="C23">
        <f ca="1">CountCellsByColor(AG3:AG98, C1)</f>
        <v>1</v>
      </c>
      <c r="D23">
        <f ca="1">CountCellsByColor(AG3:AG98, D1)</f>
        <v>0</v>
      </c>
      <c r="K23">
        <v>220</v>
      </c>
      <c r="M23">
        <v>120</v>
      </c>
      <c r="N23">
        <v>190</v>
      </c>
      <c r="O23">
        <v>342</v>
      </c>
      <c r="Q23">
        <v>142</v>
      </c>
      <c r="S23">
        <v>512</v>
      </c>
      <c r="T23">
        <v>439</v>
      </c>
      <c r="AB23">
        <v>397</v>
      </c>
      <c r="BI23">
        <v>409</v>
      </c>
    </row>
    <row r="24" spans="1:61" x14ac:dyDescent="0.25">
      <c r="A24" s="6" t="s">
        <v>22</v>
      </c>
      <c r="B24">
        <f>COUNT(AK3:AK100)</f>
        <v>1</v>
      </c>
      <c r="C24">
        <f ca="1">CountCellsByColor(AK3:AK98, C1)</f>
        <v>0</v>
      </c>
      <c r="D24">
        <f ca="1">CountCellsByColor(AK3:AK98, D1)</f>
        <v>0</v>
      </c>
      <c r="K24">
        <v>174</v>
      </c>
      <c r="M24" s="8">
        <v>124</v>
      </c>
      <c r="N24">
        <v>191</v>
      </c>
      <c r="O24">
        <v>346</v>
      </c>
      <c r="Q24" s="9">
        <v>204</v>
      </c>
      <c r="S24">
        <v>619</v>
      </c>
      <c r="T24">
        <v>450</v>
      </c>
      <c r="AB24">
        <v>622</v>
      </c>
      <c r="BI24">
        <v>410</v>
      </c>
    </row>
    <row r="25" spans="1:61" x14ac:dyDescent="0.25">
      <c r="A25" s="6" t="s">
        <v>23</v>
      </c>
      <c r="B25">
        <f>COUNT(Y3:Y100)</f>
        <v>8</v>
      </c>
      <c r="C25">
        <f ca="1">CountCellsByColor(Y3:Y98, C1)</f>
        <v>1</v>
      </c>
      <c r="D25">
        <f ca="1">CountCellsByColor(Y3:Y98, D1)</f>
        <v>1</v>
      </c>
      <c r="K25">
        <v>257</v>
      </c>
      <c r="M25" s="8">
        <v>129</v>
      </c>
      <c r="N25">
        <v>192</v>
      </c>
      <c r="O25">
        <v>343</v>
      </c>
      <c r="Q25">
        <v>249</v>
      </c>
      <c r="S25">
        <v>421</v>
      </c>
      <c r="AB25">
        <v>631</v>
      </c>
      <c r="BI25">
        <v>411</v>
      </c>
    </row>
    <row r="26" spans="1:61" x14ac:dyDescent="0.25">
      <c r="A26" s="6" t="s">
        <v>24</v>
      </c>
      <c r="B26">
        <f>COUNT(AR3:AR100)</f>
        <v>1</v>
      </c>
      <c r="C26">
        <f ca="1">CountCellsByColor(AR3:AR98, C1)</f>
        <v>0</v>
      </c>
      <c r="D26">
        <f ca="1">CountCellsByColor(AR3:AR98, D1)</f>
        <v>1</v>
      </c>
      <c r="K26">
        <v>265</v>
      </c>
      <c r="M26">
        <v>134</v>
      </c>
      <c r="N26">
        <v>195</v>
      </c>
      <c r="O26" s="8">
        <v>391</v>
      </c>
      <c r="Q26">
        <v>250</v>
      </c>
      <c r="S26">
        <v>431</v>
      </c>
      <c r="AB26">
        <v>632</v>
      </c>
      <c r="BI26">
        <v>412</v>
      </c>
    </row>
    <row r="27" spans="1:61" x14ac:dyDescent="0.25">
      <c r="A27" s="6" t="s">
        <v>27</v>
      </c>
      <c r="B27">
        <f>COUNT(AN3:AN114)</f>
        <v>1</v>
      </c>
      <c r="C27">
        <f ca="1">CountCellsByColor(AN3:AN98, C1)</f>
        <v>0</v>
      </c>
      <c r="D27">
        <f ca="1">CountCellsByColor(AN3:AN98, D1)</f>
        <v>1</v>
      </c>
      <c r="K27">
        <v>375</v>
      </c>
      <c r="M27" s="9">
        <v>135</v>
      </c>
      <c r="N27">
        <v>197</v>
      </c>
      <c r="O27" s="8">
        <v>401</v>
      </c>
      <c r="Q27">
        <v>274</v>
      </c>
      <c r="AB27">
        <v>634</v>
      </c>
      <c r="BI27">
        <v>414</v>
      </c>
    </row>
    <row r="28" spans="1:61" x14ac:dyDescent="0.25">
      <c r="A28" s="6" t="s">
        <v>25</v>
      </c>
      <c r="B28">
        <f>COUNT(U3:U100)</f>
        <v>7</v>
      </c>
      <c r="C28">
        <f ca="1">CountCellsByColor(U3:U98, C1)</f>
        <v>2</v>
      </c>
      <c r="D28">
        <f ca="1">CountCellsByColor(U3:U98, D1)</f>
        <v>0</v>
      </c>
      <c r="K28" s="8">
        <v>522</v>
      </c>
      <c r="M28" s="9">
        <v>143</v>
      </c>
      <c r="N28" s="8">
        <v>205</v>
      </c>
      <c r="O28">
        <v>402</v>
      </c>
      <c r="Q28">
        <v>339</v>
      </c>
      <c r="AB28">
        <v>664</v>
      </c>
      <c r="BI28">
        <v>418</v>
      </c>
    </row>
    <row r="29" spans="1:61" x14ac:dyDescent="0.25">
      <c r="A29" s="6" t="s">
        <v>62</v>
      </c>
      <c r="B29">
        <f>COUNT(AM3:AM100)</f>
        <v>1</v>
      </c>
      <c r="C29">
        <f ca="1">CountCellsByColor(AM3:AM98, C1)</f>
        <v>0</v>
      </c>
      <c r="D29">
        <f ca="1">CountCellsByColor(AM3:AM98, D1)</f>
        <v>0</v>
      </c>
      <c r="K29">
        <v>534</v>
      </c>
      <c r="M29">
        <v>146</v>
      </c>
      <c r="N29">
        <v>209</v>
      </c>
      <c r="O29">
        <v>403</v>
      </c>
      <c r="Q29">
        <v>348</v>
      </c>
      <c r="AB29">
        <v>665</v>
      </c>
      <c r="BI29">
        <v>420</v>
      </c>
    </row>
    <row r="30" spans="1:61" x14ac:dyDescent="0.25">
      <c r="A30" s="6" t="s">
        <v>28</v>
      </c>
      <c r="B30">
        <f>COUNT(W3:W100)</f>
        <v>2</v>
      </c>
      <c r="C30">
        <f ca="1">CountCellsByColor(W3:W98, C1)</f>
        <v>0</v>
      </c>
      <c r="D30">
        <f ca="1">CountCellsByColor(W3:W98, D1)</f>
        <v>0</v>
      </c>
      <c r="K30" s="8">
        <v>540</v>
      </c>
      <c r="M30">
        <v>162</v>
      </c>
      <c r="N30" s="8">
        <v>210</v>
      </c>
      <c r="O30">
        <v>404</v>
      </c>
      <c r="Q30">
        <v>341</v>
      </c>
      <c r="AB30">
        <v>446</v>
      </c>
      <c r="BI30">
        <v>422</v>
      </c>
    </row>
    <row r="31" spans="1:61" x14ac:dyDescent="0.25">
      <c r="A31" s="6" t="s">
        <v>29</v>
      </c>
      <c r="B31">
        <f>COUNT(AP3:AP100)</f>
        <v>3</v>
      </c>
      <c r="C31">
        <f ca="1">CountCellsByColor(AP3:AP98, C1)</f>
        <v>0</v>
      </c>
      <c r="D31">
        <f ca="1">CountCellsByColor(AP3:AP98, D1)</f>
        <v>0</v>
      </c>
      <c r="K31">
        <v>545</v>
      </c>
      <c r="M31" s="9">
        <v>163</v>
      </c>
      <c r="N31" s="8">
        <v>351</v>
      </c>
      <c r="O31">
        <v>405</v>
      </c>
      <c r="Q31">
        <v>374</v>
      </c>
      <c r="BI31">
        <v>425</v>
      </c>
    </row>
    <row r="32" spans="1:61" x14ac:dyDescent="0.25">
      <c r="A32" s="6" t="s">
        <v>30</v>
      </c>
      <c r="B32">
        <f>COUNT(AO3:AO100)</f>
        <v>4</v>
      </c>
      <c r="C32">
        <f ca="1">CountCellsByColor(AO3:AO98, C1)</f>
        <v>1</v>
      </c>
      <c r="D32">
        <f ca="1">CountCellsByColor(AO3:AO98, D1)</f>
        <v>0</v>
      </c>
      <c r="K32">
        <v>607</v>
      </c>
      <c r="M32">
        <v>167</v>
      </c>
      <c r="N32" s="8">
        <v>279</v>
      </c>
      <c r="O32" s="8">
        <v>437</v>
      </c>
      <c r="Q32">
        <v>379</v>
      </c>
      <c r="BI32">
        <v>426</v>
      </c>
    </row>
    <row r="33" spans="1:61" x14ac:dyDescent="0.25">
      <c r="A33" s="6" t="s">
        <v>31</v>
      </c>
      <c r="B33">
        <f>COUNT(AJ3:AJ100)</f>
        <v>2</v>
      </c>
      <c r="C33">
        <f ca="1">CountCellsByColor(AJ3:AJ98, C1)</f>
        <v>0</v>
      </c>
      <c r="D33">
        <f ca="1">CountCellsByColor(AJ3:AJ98, D1)</f>
        <v>0</v>
      </c>
      <c r="K33">
        <v>674</v>
      </c>
      <c r="M33">
        <v>168</v>
      </c>
      <c r="N33" s="10">
        <v>180</v>
      </c>
      <c r="O33">
        <v>505</v>
      </c>
      <c r="Q33">
        <v>578</v>
      </c>
      <c r="BI33">
        <v>427</v>
      </c>
    </row>
    <row r="34" spans="1:61" x14ac:dyDescent="0.25">
      <c r="A34" s="6" t="s">
        <v>69</v>
      </c>
      <c r="B34">
        <f>COUNT(AT3:AT100)</f>
        <v>1</v>
      </c>
      <c r="C34">
        <f ca="1">CountCellsByColor(AT3:AT98, C1)</f>
        <v>0</v>
      </c>
      <c r="D34">
        <f ca="1">CountCellsByColor(AT3:AT98, D1)</f>
        <v>0</v>
      </c>
      <c r="K34">
        <v>308</v>
      </c>
      <c r="M34">
        <v>169</v>
      </c>
      <c r="N34" s="10">
        <v>264</v>
      </c>
      <c r="O34">
        <v>516</v>
      </c>
      <c r="Q34">
        <v>620</v>
      </c>
      <c r="BI34">
        <v>428</v>
      </c>
    </row>
    <row r="35" spans="1:61" x14ac:dyDescent="0.25">
      <c r="A35" s="6" t="s">
        <v>70</v>
      </c>
      <c r="B35">
        <f>COUNT(AU3:AU101)</f>
        <v>2</v>
      </c>
      <c r="C35">
        <f ca="1">CountCellsByColor(AU3:AU99, C1)</f>
        <v>0</v>
      </c>
      <c r="D35">
        <f ca="1">CountCellsByColor(AU3:AU99, D1)</f>
        <v>0</v>
      </c>
      <c r="K35">
        <v>309</v>
      </c>
      <c r="M35">
        <v>170</v>
      </c>
      <c r="N35" s="10">
        <v>268</v>
      </c>
      <c r="O35" s="8">
        <v>604</v>
      </c>
      <c r="Q35">
        <v>317</v>
      </c>
      <c r="BI35">
        <v>429</v>
      </c>
    </row>
    <row r="36" spans="1:61" x14ac:dyDescent="0.25">
      <c r="A36" s="6" t="s">
        <v>71</v>
      </c>
      <c r="B36">
        <f>COUNT(AV3:AV101)</f>
        <v>4</v>
      </c>
      <c r="C36">
        <f ca="1">CountCellsByColor(AV3:AV99, C1)</f>
        <v>0</v>
      </c>
      <c r="D36">
        <f ca="1">CountCellsByColor(AV3:AV99, D1)</f>
        <v>0</v>
      </c>
      <c r="K36">
        <v>369</v>
      </c>
      <c r="M36">
        <v>176</v>
      </c>
      <c r="N36" s="10">
        <v>270</v>
      </c>
      <c r="O36">
        <v>621</v>
      </c>
      <c r="Q36">
        <v>352</v>
      </c>
      <c r="BI36">
        <v>430</v>
      </c>
    </row>
    <row r="37" spans="1:61" x14ac:dyDescent="0.25">
      <c r="A37" s="6" t="s">
        <v>72</v>
      </c>
      <c r="B37">
        <f>COUNT(AW3:AW101)</f>
        <v>1</v>
      </c>
      <c r="C37">
        <f ca="1">CountCellsByColor(AW3:AW99, C1)</f>
        <v>0</v>
      </c>
      <c r="D37">
        <f ca="1">CountCellsByColor(AW3:AW99, D1)</f>
        <v>0</v>
      </c>
      <c r="K37">
        <v>371</v>
      </c>
      <c r="M37">
        <v>194</v>
      </c>
      <c r="N37" s="10">
        <v>276</v>
      </c>
      <c r="O37">
        <v>689</v>
      </c>
      <c r="Q37">
        <v>415</v>
      </c>
      <c r="BI37">
        <v>433</v>
      </c>
    </row>
    <row r="38" spans="1:61" x14ac:dyDescent="0.25">
      <c r="A38" s="6" t="s">
        <v>73</v>
      </c>
      <c r="B38">
        <f>COUNT(AX3:AX101)</f>
        <v>4</v>
      </c>
      <c r="C38">
        <f ca="1">CountCellsByColor(AX3:AX99, C1)</f>
        <v>0</v>
      </c>
      <c r="D38">
        <f ca="1">CountCellsByColor(AX3:AX99, D1)</f>
        <v>0</v>
      </c>
      <c r="K38">
        <v>385</v>
      </c>
      <c r="M38" s="8">
        <v>200</v>
      </c>
      <c r="N38" s="8">
        <v>278</v>
      </c>
      <c r="O38">
        <v>694</v>
      </c>
      <c r="Q38">
        <v>417</v>
      </c>
      <c r="BI38">
        <v>443</v>
      </c>
    </row>
    <row r="39" spans="1:61" x14ac:dyDescent="0.25">
      <c r="A39" s="6" t="s">
        <v>48</v>
      </c>
      <c r="B39">
        <f>COUNT(X3:X101)</f>
        <v>1</v>
      </c>
      <c r="C39">
        <f ca="1">CountCellsByColor(X3:X99, C1)</f>
        <v>0</v>
      </c>
      <c r="D39">
        <f ca="1">CountCellsByColor(X3:X99, D1)</f>
        <v>0</v>
      </c>
      <c r="K39">
        <v>424</v>
      </c>
      <c r="M39">
        <v>208</v>
      </c>
      <c r="N39" s="10">
        <v>294</v>
      </c>
      <c r="O39">
        <v>701</v>
      </c>
      <c r="Q39">
        <v>419</v>
      </c>
      <c r="BI39">
        <v>445</v>
      </c>
    </row>
    <row r="40" spans="1:61" x14ac:dyDescent="0.25">
      <c r="A40" s="6" t="s">
        <v>74</v>
      </c>
      <c r="B40">
        <f>COUNT(AY3:AY101)</f>
        <v>2</v>
      </c>
      <c r="C40">
        <f ca="1">CountCellsByColor(AY3:AY99, C1)</f>
        <v>0</v>
      </c>
      <c r="D40">
        <f ca="1">CountCellsByColor(AY3:AY99, D1)</f>
        <v>0</v>
      </c>
      <c r="K40">
        <v>449</v>
      </c>
      <c r="M40">
        <v>212</v>
      </c>
      <c r="N40" s="10">
        <v>296</v>
      </c>
      <c r="O40" s="8">
        <v>718</v>
      </c>
      <c r="Q40">
        <v>444</v>
      </c>
      <c r="BI40">
        <v>451</v>
      </c>
    </row>
    <row r="41" spans="1:61" x14ac:dyDescent="0.25">
      <c r="A41" s="6" t="s">
        <v>75</v>
      </c>
      <c r="B41">
        <f>COUNT(AZ3:AZ101)</f>
        <v>1</v>
      </c>
      <c r="C41">
        <f ca="1">CountCellsByColor(AZ3:AZ99, C1)</f>
        <v>0</v>
      </c>
      <c r="D41">
        <f ca="1">CountCellsByColor(AZ3:AZ99, D1)</f>
        <v>0</v>
      </c>
      <c r="M41">
        <v>214</v>
      </c>
      <c r="N41" s="10">
        <v>298</v>
      </c>
      <c r="O41">
        <v>316</v>
      </c>
      <c r="BI41">
        <v>452</v>
      </c>
    </row>
    <row r="42" spans="1:61" x14ac:dyDescent="0.25">
      <c r="A42" s="6" t="s">
        <v>76</v>
      </c>
      <c r="B42">
        <f>COUNT(BA3:BA101)</f>
        <v>1</v>
      </c>
      <c r="C42">
        <f ca="1">CountCellsByColor(BA3:BA99, C1)</f>
        <v>0</v>
      </c>
      <c r="D42">
        <f ca="1">CountCellsByColor(BA3:BA99, D1)</f>
        <v>0</v>
      </c>
      <c r="M42" s="8">
        <v>215</v>
      </c>
      <c r="N42" s="10">
        <v>299</v>
      </c>
      <c r="O42">
        <v>392</v>
      </c>
      <c r="BI42">
        <v>453</v>
      </c>
    </row>
    <row r="43" spans="1:61" x14ac:dyDescent="0.25">
      <c r="A43" s="6" t="s">
        <v>77</v>
      </c>
      <c r="B43">
        <f>COUNT(BB3:BB101)</f>
        <v>2</v>
      </c>
      <c r="C43">
        <f ca="1">CountCellsByColor(BB3:BB99, C1)</f>
        <v>0</v>
      </c>
      <c r="D43">
        <f ca="1">CountCellsByColor(BB3:BB99, D1)</f>
        <v>0</v>
      </c>
      <c r="M43">
        <v>216</v>
      </c>
      <c r="N43" s="10">
        <v>300</v>
      </c>
      <c r="O43">
        <v>398</v>
      </c>
      <c r="BI43">
        <v>454</v>
      </c>
    </row>
    <row r="44" spans="1:61" x14ac:dyDescent="0.25">
      <c r="A44" s="6" t="s">
        <v>78</v>
      </c>
      <c r="B44">
        <f>COUNT(BC3:BC101)</f>
        <v>1</v>
      </c>
      <c r="C44">
        <f ca="1">CountCellsByColor(BC3:BC99, C1)</f>
        <v>1</v>
      </c>
      <c r="D44">
        <f ca="1">CountCellsByColor(BC3:BC99, D1)</f>
        <v>0</v>
      </c>
      <c r="M44">
        <v>221</v>
      </c>
      <c r="N44" s="10">
        <v>502</v>
      </c>
      <c r="O44">
        <v>399</v>
      </c>
      <c r="BI44">
        <v>455</v>
      </c>
    </row>
    <row r="45" spans="1:61" x14ac:dyDescent="0.25">
      <c r="A45" s="6" t="s">
        <v>79</v>
      </c>
      <c r="B45">
        <f>COUNT(BD3:BD101)</f>
        <v>1</v>
      </c>
      <c r="C45">
        <f ca="1">CountCellsByColor(BD3:BD99, C1)</f>
        <v>0</v>
      </c>
      <c r="D45">
        <f ca="1">CountCellsByColor(BD3:BD99, D1)</f>
        <v>0</v>
      </c>
      <c r="M45">
        <v>223</v>
      </c>
      <c r="N45" s="10">
        <v>503</v>
      </c>
      <c r="O45">
        <v>440</v>
      </c>
      <c r="BI45">
        <v>456</v>
      </c>
    </row>
    <row r="46" spans="1:61" x14ac:dyDescent="0.25">
      <c r="A46" s="6" t="s">
        <v>80</v>
      </c>
      <c r="B46">
        <f>COUNT(BE3:BE100)</f>
        <v>4</v>
      </c>
      <c r="C46">
        <f ca="1">CountCellsByColor(BE3:BE99, C1)</f>
        <v>0</v>
      </c>
      <c r="D46">
        <f ca="1">CountCellsByColor(BE3:BE99, D1)</f>
        <v>0</v>
      </c>
      <c r="M46">
        <v>224</v>
      </c>
      <c r="N46" s="10">
        <v>504</v>
      </c>
      <c r="BI46">
        <v>457</v>
      </c>
    </row>
    <row r="47" spans="1:61" x14ac:dyDescent="0.25">
      <c r="A47" s="6" t="s">
        <v>82</v>
      </c>
      <c r="B47">
        <f>COUNT(BF3:BF100)</f>
        <v>1</v>
      </c>
      <c r="C47">
        <f ca="1">CountCellsByColor(BF3:BF99, C1)</f>
        <v>0</v>
      </c>
      <c r="D47">
        <f ca="1">CountCellsByColor(BF3:BF99, D1)</f>
        <v>0</v>
      </c>
      <c r="M47" s="8">
        <v>226</v>
      </c>
      <c r="N47" s="10">
        <v>506</v>
      </c>
      <c r="BI47">
        <v>458</v>
      </c>
    </row>
    <row r="48" spans="1:61" x14ac:dyDescent="0.25">
      <c r="A48" s="6" t="s">
        <v>83</v>
      </c>
      <c r="B48">
        <f>COUNT(BG3:BG100)</f>
        <v>1</v>
      </c>
      <c r="C48">
        <f ca="1">CountCellsByColor(BG3:BG100, C1)</f>
        <v>0</v>
      </c>
      <c r="D48">
        <f ca="1">CountCellsByColor(BG3:BG100, D1)</f>
        <v>0</v>
      </c>
      <c r="M48">
        <v>234</v>
      </c>
      <c r="N48" s="10">
        <v>508</v>
      </c>
      <c r="BI48">
        <v>459</v>
      </c>
    </row>
    <row r="49" spans="1:61" x14ac:dyDescent="0.25">
      <c r="A49" s="6" t="s">
        <v>47</v>
      </c>
      <c r="B49">
        <f>COUNT(V3:V100)</f>
        <v>1</v>
      </c>
      <c r="C49">
        <f ca="1">CountCellsByColor(V3:V100, C1)</f>
        <v>0</v>
      </c>
      <c r="D49">
        <f ca="1">CountCellsByColor(V3:V100, D1)</f>
        <v>0</v>
      </c>
      <c r="M49">
        <v>236</v>
      </c>
      <c r="N49" s="10">
        <v>509</v>
      </c>
      <c r="BI49">
        <v>460</v>
      </c>
    </row>
    <row r="50" spans="1:61" x14ac:dyDescent="0.25">
      <c r="M50">
        <v>237</v>
      </c>
      <c r="N50" s="10">
        <v>582</v>
      </c>
      <c r="BI50">
        <v>461</v>
      </c>
    </row>
    <row r="51" spans="1:61" x14ac:dyDescent="0.25">
      <c r="M51">
        <v>255</v>
      </c>
      <c r="N51" s="10">
        <v>609</v>
      </c>
      <c r="BI51">
        <v>463</v>
      </c>
    </row>
    <row r="52" spans="1:61" x14ac:dyDescent="0.25">
      <c r="M52" s="8">
        <v>319</v>
      </c>
      <c r="N52" s="10">
        <v>610</v>
      </c>
      <c r="BI52">
        <v>464</v>
      </c>
    </row>
    <row r="53" spans="1:61" x14ac:dyDescent="0.25">
      <c r="M53">
        <v>320</v>
      </c>
      <c r="N53" s="10">
        <v>611</v>
      </c>
      <c r="BI53">
        <v>465</v>
      </c>
    </row>
    <row r="54" spans="1:61" x14ac:dyDescent="0.25">
      <c r="M54">
        <v>325</v>
      </c>
      <c r="N54" s="10">
        <v>612</v>
      </c>
      <c r="BI54">
        <v>466</v>
      </c>
    </row>
    <row r="55" spans="1:61" x14ac:dyDescent="0.25">
      <c r="M55" s="8">
        <v>326</v>
      </c>
      <c r="N55" s="8">
        <v>676</v>
      </c>
      <c r="BI55">
        <v>467</v>
      </c>
    </row>
    <row r="56" spans="1:61" x14ac:dyDescent="0.25">
      <c r="M56" s="8">
        <v>328</v>
      </c>
      <c r="N56" s="10">
        <v>690</v>
      </c>
      <c r="BI56">
        <v>468</v>
      </c>
    </row>
    <row r="57" spans="1:61" x14ac:dyDescent="0.25">
      <c r="M57">
        <v>331</v>
      </c>
      <c r="N57" s="10">
        <v>692</v>
      </c>
      <c r="BI57">
        <v>469</v>
      </c>
    </row>
    <row r="58" spans="1:61" x14ac:dyDescent="0.25">
      <c r="M58">
        <v>332</v>
      </c>
      <c r="N58" s="10">
        <v>703</v>
      </c>
      <c r="BI58">
        <v>470</v>
      </c>
    </row>
    <row r="59" spans="1:61" x14ac:dyDescent="0.25">
      <c r="M59" s="8">
        <v>333</v>
      </c>
      <c r="N59" s="10">
        <v>779</v>
      </c>
      <c r="BI59">
        <v>471</v>
      </c>
    </row>
    <row r="60" spans="1:61" x14ac:dyDescent="0.25">
      <c r="M60">
        <v>334</v>
      </c>
      <c r="N60" s="10">
        <v>781</v>
      </c>
      <c r="BI60">
        <v>472</v>
      </c>
    </row>
    <row r="61" spans="1:61" x14ac:dyDescent="0.25">
      <c r="M61">
        <v>335</v>
      </c>
      <c r="N61" s="10">
        <v>782</v>
      </c>
      <c r="BI61">
        <v>473</v>
      </c>
    </row>
    <row r="62" spans="1:61" x14ac:dyDescent="0.25">
      <c r="M62" s="8">
        <v>266</v>
      </c>
      <c r="N62" s="10">
        <v>438</v>
      </c>
      <c r="BI62">
        <v>474</v>
      </c>
    </row>
    <row r="63" spans="1:61" x14ac:dyDescent="0.25">
      <c r="M63" s="8">
        <v>310</v>
      </c>
      <c r="N63" s="10">
        <v>448</v>
      </c>
      <c r="BI63">
        <v>475</v>
      </c>
    </row>
    <row r="64" spans="1:61" x14ac:dyDescent="0.25">
      <c r="M64" s="10">
        <v>227</v>
      </c>
      <c r="BI64">
        <v>476</v>
      </c>
    </row>
    <row r="65" spans="13:61" x14ac:dyDescent="0.25">
      <c r="M65" s="10">
        <v>228</v>
      </c>
      <c r="BI65">
        <v>477</v>
      </c>
    </row>
    <row r="66" spans="13:61" x14ac:dyDescent="0.25">
      <c r="M66" s="10">
        <v>229</v>
      </c>
      <c r="BI66">
        <v>478</v>
      </c>
    </row>
    <row r="67" spans="13:61" x14ac:dyDescent="0.25">
      <c r="M67" s="10">
        <v>247</v>
      </c>
      <c r="BI67">
        <v>479</v>
      </c>
    </row>
    <row r="68" spans="13:61" x14ac:dyDescent="0.25">
      <c r="M68" s="10">
        <v>271</v>
      </c>
      <c r="BI68">
        <v>480</v>
      </c>
    </row>
    <row r="69" spans="13:61" x14ac:dyDescent="0.25">
      <c r="M69" s="10">
        <v>272</v>
      </c>
      <c r="BI69">
        <v>481</v>
      </c>
    </row>
    <row r="70" spans="13:61" x14ac:dyDescent="0.25">
      <c r="M70" s="10">
        <v>283</v>
      </c>
      <c r="BI70">
        <v>482</v>
      </c>
    </row>
    <row r="71" spans="13:61" x14ac:dyDescent="0.25">
      <c r="M71" s="10">
        <v>287</v>
      </c>
      <c r="BI71">
        <v>483</v>
      </c>
    </row>
    <row r="72" spans="13:61" x14ac:dyDescent="0.25">
      <c r="M72" s="10">
        <v>297</v>
      </c>
      <c r="BI72">
        <v>484</v>
      </c>
    </row>
    <row r="73" spans="13:61" x14ac:dyDescent="0.25">
      <c r="M73" s="8">
        <v>306</v>
      </c>
      <c r="BI73">
        <v>485</v>
      </c>
    </row>
    <row r="74" spans="13:61" x14ac:dyDescent="0.25">
      <c r="M74" s="10">
        <v>347</v>
      </c>
      <c r="BI74">
        <v>486</v>
      </c>
    </row>
    <row r="75" spans="13:61" x14ac:dyDescent="0.25">
      <c r="M75" s="10">
        <v>373</v>
      </c>
      <c r="BI75">
        <v>487</v>
      </c>
    </row>
    <row r="76" spans="13:61" x14ac:dyDescent="0.25">
      <c r="M76" s="10">
        <v>378</v>
      </c>
      <c r="BI76">
        <v>488</v>
      </c>
    </row>
    <row r="77" spans="13:61" x14ac:dyDescent="0.25">
      <c r="M77" s="8">
        <v>382</v>
      </c>
      <c r="BI77">
        <v>489</v>
      </c>
    </row>
    <row r="78" spans="13:61" x14ac:dyDescent="0.25">
      <c r="M78" s="8">
        <v>389</v>
      </c>
      <c r="BI78">
        <v>490</v>
      </c>
    </row>
    <row r="79" spans="13:61" x14ac:dyDescent="0.25">
      <c r="M79" s="8">
        <v>393</v>
      </c>
      <c r="BI79">
        <v>491</v>
      </c>
    </row>
    <row r="80" spans="13:61" x14ac:dyDescent="0.25">
      <c r="M80" s="10">
        <v>408</v>
      </c>
      <c r="BI80">
        <v>493</v>
      </c>
    </row>
    <row r="81" spans="13:61" x14ac:dyDescent="0.25">
      <c r="M81" s="10">
        <v>511</v>
      </c>
      <c r="BI81">
        <v>494</v>
      </c>
    </row>
    <row r="82" spans="13:61" x14ac:dyDescent="0.25">
      <c r="M82" s="10">
        <v>513</v>
      </c>
      <c r="BI82">
        <v>496</v>
      </c>
    </row>
    <row r="83" spans="13:61" x14ac:dyDescent="0.25">
      <c r="M83" s="10">
        <v>605</v>
      </c>
      <c r="BI83">
        <v>497</v>
      </c>
    </row>
    <row r="84" spans="13:61" x14ac:dyDescent="0.25">
      <c r="M84" s="10">
        <v>606</v>
      </c>
      <c r="BI84">
        <v>498</v>
      </c>
    </row>
    <row r="85" spans="13:61" x14ac:dyDescent="0.25">
      <c r="M85" s="10">
        <v>608</v>
      </c>
      <c r="BI85">
        <v>499</v>
      </c>
    </row>
    <row r="86" spans="13:61" x14ac:dyDescent="0.25">
      <c r="M86" s="10">
        <v>626</v>
      </c>
      <c r="BI86">
        <v>500</v>
      </c>
    </row>
    <row r="87" spans="13:61" x14ac:dyDescent="0.25">
      <c r="M87" s="8">
        <v>637</v>
      </c>
      <c r="BI87">
        <v>501</v>
      </c>
    </row>
    <row r="88" spans="13:61" x14ac:dyDescent="0.25">
      <c r="M88" s="10">
        <v>638</v>
      </c>
      <c r="BI88">
        <v>510</v>
      </c>
    </row>
    <row r="89" spans="13:61" x14ac:dyDescent="0.25">
      <c r="M89" s="10">
        <v>673</v>
      </c>
      <c r="BI89">
        <v>514</v>
      </c>
    </row>
    <row r="90" spans="13:61" x14ac:dyDescent="0.25">
      <c r="M90" s="10">
        <v>675</v>
      </c>
      <c r="BI90">
        <v>515</v>
      </c>
    </row>
    <row r="91" spans="13:61" x14ac:dyDescent="0.25">
      <c r="M91" s="10">
        <v>695</v>
      </c>
      <c r="BI91">
        <v>517</v>
      </c>
    </row>
    <row r="92" spans="13:61" x14ac:dyDescent="0.25">
      <c r="M92" s="8">
        <v>729</v>
      </c>
      <c r="BI92">
        <v>518</v>
      </c>
    </row>
    <row r="93" spans="13:61" x14ac:dyDescent="0.25">
      <c r="M93" s="8">
        <v>730</v>
      </c>
      <c r="BI93">
        <v>519</v>
      </c>
    </row>
    <row r="94" spans="13:61" x14ac:dyDescent="0.25">
      <c r="M94" s="8">
        <v>731</v>
      </c>
      <c r="BI94">
        <v>520</v>
      </c>
    </row>
    <row r="95" spans="13:61" x14ac:dyDescent="0.25">
      <c r="M95" s="10">
        <v>732</v>
      </c>
      <c r="BI95">
        <v>521</v>
      </c>
    </row>
    <row r="96" spans="13:61" x14ac:dyDescent="0.25">
      <c r="M96" s="10">
        <v>767</v>
      </c>
      <c r="BI96">
        <v>523</v>
      </c>
    </row>
    <row r="97" spans="13:61" x14ac:dyDescent="0.25">
      <c r="M97" s="10">
        <v>780</v>
      </c>
      <c r="BI97">
        <v>524</v>
      </c>
    </row>
    <row r="98" spans="13:61" x14ac:dyDescent="0.25">
      <c r="M98" s="10">
        <v>783</v>
      </c>
      <c r="BI98">
        <v>526</v>
      </c>
    </row>
    <row r="99" spans="13:61" x14ac:dyDescent="0.25">
      <c r="M99" s="8">
        <v>859</v>
      </c>
      <c r="BI99">
        <v>527</v>
      </c>
    </row>
    <row r="100" spans="13:61" x14ac:dyDescent="0.25">
      <c r="M100" s="9">
        <v>358</v>
      </c>
      <c r="BI100">
        <v>528</v>
      </c>
    </row>
    <row r="101" spans="13:61" x14ac:dyDescent="0.25">
      <c r="M101" s="10">
        <v>261</v>
      </c>
      <c r="BI101">
        <v>529</v>
      </c>
    </row>
    <row r="102" spans="13:61" x14ac:dyDescent="0.25">
      <c r="M102" s="10">
        <v>383</v>
      </c>
      <c r="BI102">
        <v>530</v>
      </c>
    </row>
    <row r="103" spans="13:61" x14ac:dyDescent="0.25">
      <c r="M103" s="10">
        <v>394</v>
      </c>
      <c r="BI103">
        <v>531</v>
      </c>
    </row>
    <row r="104" spans="13:61" x14ac:dyDescent="0.25">
      <c r="M104" s="10">
        <v>432</v>
      </c>
      <c r="BI104">
        <v>532</v>
      </c>
    </row>
    <row r="105" spans="13:61" x14ac:dyDescent="0.25">
      <c r="M105" s="10">
        <v>435</v>
      </c>
      <c r="BI105">
        <v>533</v>
      </c>
    </row>
    <row r="106" spans="13:61" x14ac:dyDescent="0.25">
      <c r="M106" s="10">
        <v>436</v>
      </c>
      <c r="BI106">
        <v>535</v>
      </c>
    </row>
    <row r="107" spans="13:61" x14ac:dyDescent="0.25">
      <c r="M107" s="10">
        <v>447</v>
      </c>
      <c r="BI107">
        <v>536</v>
      </c>
    </row>
    <row r="108" spans="13:61" x14ac:dyDescent="0.25">
      <c r="BI108">
        <v>537</v>
      </c>
    </row>
    <row r="109" spans="13:61" x14ac:dyDescent="0.25">
      <c r="BI109">
        <v>538</v>
      </c>
    </row>
    <row r="110" spans="13:61" x14ac:dyDescent="0.25">
      <c r="BI110">
        <v>539</v>
      </c>
    </row>
    <row r="111" spans="13:61" x14ac:dyDescent="0.25">
      <c r="BI111">
        <v>541</v>
      </c>
    </row>
    <row r="112" spans="13:61" x14ac:dyDescent="0.25">
      <c r="BI112">
        <v>542</v>
      </c>
    </row>
    <row r="113" spans="61:61" x14ac:dyDescent="0.25">
      <c r="BI113">
        <v>543</v>
      </c>
    </row>
    <row r="114" spans="61:61" x14ac:dyDescent="0.25">
      <c r="BI114">
        <v>548</v>
      </c>
    </row>
    <row r="115" spans="61:61" x14ac:dyDescent="0.25">
      <c r="BI115">
        <v>549</v>
      </c>
    </row>
    <row r="116" spans="61:61" x14ac:dyDescent="0.25">
      <c r="BI116">
        <v>550</v>
      </c>
    </row>
    <row r="117" spans="61:61" x14ac:dyDescent="0.25">
      <c r="BI117">
        <v>551</v>
      </c>
    </row>
    <row r="118" spans="61:61" x14ac:dyDescent="0.25">
      <c r="BI118">
        <v>552</v>
      </c>
    </row>
    <row r="119" spans="61:61" x14ac:dyDescent="0.25">
      <c r="BI119">
        <v>553</v>
      </c>
    </row>
    <row r="120" spans="61:61" x14ac:dyDescent="0.25">
      <c r="BI120">
        <v>554</v>
      </c>
    </row>
    <row r="121" spans="61:61" x14ac:dyDescent="0.25">
      <c r="BI121">
        <v>555</v>
      </c>
    </row>
    <row r="122" spans="61:61" x14ac:dyDescent="0.25">
      <c r="BI122">
        <v>556</v>
      </c>
    </row>
    <row r="123" spans="61:61" x14ac:dyDescent="0.25">
      <c r="BI123">
        <v>557</v>
      </c>
    </row>
    <row r="124" spans="61:61" x14ac:dyDescent="0.25">
      <c r="BI124">
        <v>558</v>
      </c>
    </row>
    <row r="125" spans="61:61" x14ac:dyDescent="0.25">
      <c r="BI125">
        <v>559</v>
      </c>
    </row>
    <row r="126" spans="61:61" x14ac:dyDescent="0.25">
      <c r="BI126">
        <v>560</v>
      </c>
    </row>
    <row r="127" spans="61:61" x14ac:dyDescent="0.25">
      <c r="BI127">
        <v>562</v>
      </c>
    </row>
    <row r="128" spans="61:61" x14ac:dyDescent="0.25">
      <c r="BI128">
        <v>563</v>
      </c>
    </row>
    <row r="129" spans="61:61" x14ac:dyDescent="0.25">
      <c r="BI129">
        <v>564</v>
      </c>
    </row>
    <row r="130" spans="61:61" x14ac:dyDescent="0.25">
      <c r="BI130">
        <v>565</v>
      </c>
    </row>
    <row r="131" spans="61:61" x14ac:dyDescent="0.25">
      <c r="BI131">
        <v>566</v>
      </c>
    </row>
    <row r="132" spans="61:61" x14ac:dyDescent="0.25">
      <c r="BI132">
        <v>567</v>
      </c>
    </row>
    <row r="133" spans="61:61" x14ac:dyDescent="0.25">
      <c r="BI133">
        <v>568</v>
      </c>
    </row>
    <row r="134" spans="61:61" x14ac:dyDescent="0.25">
      <c r="BI134">
        <v>569</v>
      </c>
    </row>
    <row r="135" spans="61:61" x14ac:dyDescent="0.25">
      <c r="BI135">
        <v>570</v>
      </c>
    </row>
    <row r="136" spans="61:61" x14ac:dyDescent="0.25">
      <c r="BI136">
        <v>575</v>
      </c>
    </row>
    <row r="137" spans="61:61" x14ac:dyDescent="0.25">
      <c r="BI137">
        <v>576</v>
      </c>
    </row>
    <row r="138" spans="61:61" x14ac:dyDescent="0.25">
      <c r="BI138">
        <v>577</v>
      </c>
    </row>
    <row r="139" spans="61:61" x14ac:dyDescent="0.25">
      <c r="BI139">
        <v>583</v>
      </c>
    </row>
    <row r="140" spans="61:61" x14ac:dyDescent="0.25">
      <c r="BI140">
        <v>584</v>
      </c>
    </row>
    <row r="141" spans="61:61" x14ac:dyDescent="0.25">
      <c r="BI141">
        <v>585</v>
      </c>
    </row>
    <row r="142" spans="61:61" x14ac:dyDescent="0.25">
      <c r="BI142">
        <v>586</v>
      </c>
    </row>
    <row r="143" spans="61:61" x14ac:dyDescent="0.25">
      <c r="BI143">
        <v>587</v>
      </c>
    </row>
    <row r="144" spans="61:61" x14ac:dyDescent="0.25">
      <c r="BI144">
        <v>588</v>
      </c>
    </row>
    <row r="145" spans="61:61" x14ac:dyDescent="0.25">
      <c r="BI145">
        <v>589</v>
      </c>
    </row>
    <row r="146" spans="61:61" x14ac:dyDescent="0.25">
      <c r="BI146">
        <v>590</v>
      </c>
    </row>
    <row r="147" spans="61:61" x14ac:dyDescent="0.25">
      <c r="BI147">
        <v>591</v>
      </c>
    </row>
    <row r="148" spans="61:61" x14ac:dyDescent="0.25">
      <c r="BI148">
        <v>592</v>
      </c>
    </row>
    <row r="149" spans="61:61" x14ac:dyDescent="0.25">
      <c r="BI149">
        <v>593</v>
      </c>
    </row>
    <row r="150" spans="61:61" x14ac:dyDescent="0.25">
      <c r="BI150">
        <v>594</v>
      </c>
    </row>
    <row r="151" spans="61:61" x14ac:dyDescent="0.25">
      <c r="BI151">
        <v>595</v>
      </c>
    </row>
    <row r="152" spans="61:61" x14ac:dyDescent="0.25">
      <c r="BI152">
        <v>599</v>
      </c>
    </row>
    <row r="153" spans="61:61" x14ac:dyDescent="0.25">
      <c r="BI153">
        <v>601</v>
      </c>
    </row>
    <row r="154" spans="61:61" x14ac:dyDescent="0.25">
      <c r="BI154">
        <v>602</v>
      </c>
    </row>
    <row r="155" spans="61:61" x14ac:dyDescent="0.25">
      <c r="BI155">
        <v>603</v>
      </c>
    </row>
    <row r="156" spans="61:61" x14ac:dyDescent="0.25">
      <c r="BI156">
        <v>614</v>
      </c>
    </row>
    <row r="157" spans="61:61" x14ac:dyDescent="0.25">
      <c r="BI157">
        <v>616</v>
      </c>
    </row>
    <row r="158" spans="61:61" x14ac:dyDescent="0.25">
      <c r="BI158">
        <v>617</v>
      </c>
    </row>
    <row r="159" spans="61:61" x14ac:dyDescent="0.25">
      <c r="BI159">
        <v>623</v>
      </c>
    </row>
    <row r="160" spans="61:61" x14ac:dyDescent="0.25">
      <c r="BI160">
        <v>624</v>
      </c>
    </row>
    <row r="161" spans="61:61" x14ac:dyDescent="0.25">
      <c r="BI161">
        <v>625</v>
      </c>
    </row>
    <row r="162" spans="61:61" x14ac:dyDescent="0.25">
      <c r="BI162">
        <v>627</v>
      </c>
    </row>
    <row r="163" spans="61:61" x14ac:dyDescent="0.25">
      <c r="BI163">
        <v>628</v>
      </c>
    </row>
    <row r="164" spans="61:61" x14ac:dyDescent="0.25">
      <c r="BI164">
        <v>629</v>
      </c>
    </row>
    <row r="165" spans="61:61" x14ac:dyDescent="0.25">
      <c r="BI165">
        <v>630</v>
      </c>
    </row>
    <row r="166" spans="61:61" x14ac:dyDescent="0.25">
      <c r="BI166">
        <v>639</v>
      </c>
    </row>
    <row r="167" spans="61:61" x14ac:dyDescent="0.25">
      <c r="BI167">
        <v>640</v>
      </c>
    </row>
    <row r="168" spans="61:61" x14ac:dyDescent="0.25">
      <c r="BI168">
        <v>641</v>
      </c>
    </row>
    <row r="169" spans="61:61" x14ac:dyDescent="0.25">
      <c r="BI169">
        <v>642</v>
      </c>
    </row>
    <row r="170" spans="61:61" x14ac:dyDescent="0.25">
      <c r="BI170">
        <v>643</v>
      </c>
    </row>
    <row r="171" spans="61:61" x14ac:dyDescent="0.25">
      <c r="BI171">
        <v>644</v>
      </c>
    </row>
    <row r="172" spans="61:61" x14ac:dyDescent="0.25">
      <c r="BI172">
        <v>645</v>
      </c>
    </row>
    <row r="173" spans="61:61" x14ac:dyDescent="0.25">
      <c r="BI173">
        <v>646</v>
      </c>
    </row>
    <row r="174" spans="61:61" x14ac:dyDescent="0.25">
      <c r="BI174" s="8">
        <v>648</v>
      </c>
    </row>
    <row r="175" spans="61:61" x14ac:dyDescent="0.25">
      <c r="BI175">
        <v>649</v>
      </c>
    </row>
    <row r="176" spans="61:61" x14ac:dyDescent="0.25">
      <c r="BI176">
        <v>650</v>
      </c>
    </row>
    <row r="177" spans="61:61" x14ac:dyDescent="0.25">
      <c r="BI177">
        <v>651</v>
      </c>
    </row>
    <row r="178" spans="61:61" x14ac:dyDescent="0.25">
      <c r="BI178">
        <v>652</v>
      </c>
    </row>
    <row r="179" spans="61:61" x14ac:dyDescent="0.25">
      <c r="BI179">
        <v>653</v>
      </c>
    </row>
    <row r="180" spans="61:61" x14ac:dyDescent="0.25">
      <c r="BI180">
        <v>654</v>
      </c>
    </row>
    <row r="181" spans="61:61" x14ac:dyDescent="0.25">
      <c r="BI181">
        <v>655</v>
      </c>
    </row>
    <row r="182" spans="61:61" x14ac:dyDescent="0.25">
      <c r="BI182">
        <v>656</v>
      </c>
    </row>
    <row r="183" spans="61:61" x14ac:dyDescent="0.25">
      <c r="BI183">
        <v>657</v>
      </c>
    </row>
    <row r="184" spans="61:61" x14ac:dyDescent="0.25">
      <c r="BI184">
        <v>658</v>
      </c>
    </row>
    <row r="185" spans="61:61" x14ac:dyDescent="0.25">
      <c r="BI185">
        <v>659</v>
      </c>
    </row>
    <row r="186" spans="61:61" x14ac:dyDescent="0.25">
      <c r="BI186">
        <v>660</v>
      </c>
    </row>
    <row r="187" spans="61:61" x14ac:dyDescent="0.25">
      <c r="BI187">
        <v>661</v>
      </c>
    </row>
    <row r="188" spans="61:61" x14ac:dyDescent="0.25">
      <c r="BI188">
        <v>662</v>
      </c>
    </row>
    <row r="189" spans="61:61" x14ac:dyDescent="0.25">
      <c r="BI189">
        <v>663</v>
      </c>
    </row>
    <row r="190" spans="61:61" x14ac:dyDescent="0.25">
      <c r="BI190">
        <v>666</v>
      </c>
    </row>
    <row r="191" spans="61:61" x14ac:dyDescent="0.25">
      <c r="BI191">
        <v>667</v>
      </c>
    </row>
    <row r="192" spans="61:61" x14ac:dyDescent="0.25">
      <c r="BI192">
        <v>669</v>
      </c>
    </row>
    <row r="193" spans="61:61" x14ac:dyDescent="0.25">
      <c r="BI193">
        <v>670</v>
      </c>
    </row>
    <row r="194" spans="61:61" x14ac:dyDescent="0.25">
      <c r="BI194">
        <v>671</v>
      </c>
    </row>
    <row r="195" spans="61:61" x14ac:dyDescent="0.25">
      <c r="BI195">
        <v>678</v>
      </c>
    </row>
    <row r="196" spans="61:61" x14ac:dyDescent="0.25">
      <c r="BI196">
        <v>679</v>
      </c>
    </row>
    <row r="197" spans="61:61" x14ac:dyDescent="0.25">
      <c r="BI197">
        <v>680</v>
      </c>
    </row>
    <row r="198" spans="61:61" x14ac:dyDescent="0.25">
      <c r="BI198">
        <v>681</v>
      </c>
    </row>
    <row r="199" spans="61:61" x14ac:dyDescent="0.25">
      <c r="BI199">
        <v>682</v>
      </c>
    </row>
    <row r="200" spans="61:61" x14ac:dyDescent="0.25">
      <c r="BI200">
        <v>683</v>
      </c>
    </row>
    <row r="201" spans="61:61" x14ac:dyDescent="0.25">
      <c r="BI201">
        <v>685</v>
      </c>
    </row>
    <row r="202" spans="61:61" x14ac:dyDescent="0.25">
      <c r="BI202">
        <v>686</v>
      </c>
    </row>
    <row r="203" spans="61:61" x14ac:dyDescent="0.25">
      <c r="BI203">
        <v>687</v>
      </c>
    </row>
    <row r="204" spans="61:61" x14ac:dyDescent="0.25">
      <c r="BI204">
        <v>688</v>
      </c>
    </row>
    <row r="205" spans="61:61" x14ac:dyDescent="0.25">
      <c r="BI205">
        <v>691</v>
      </c>
    </row>
    <row r="206" spans="61:61" x14ac:dyDescent="0.25">
      <c r="BI206">
        <v>693</v>
      </c>
    </row>
    <row r="207" spans="61:61" x14ac:dyDescent="0.25">
      <c r="BI207">
        <v>696</v>
      </c>
    </row>
    <row r="208" spans="61:61" x14ac:dyDescent="0.25">
      <c r="BI208">
        <v>697</v>
      </c>
    </row>
    <row r="209" spans="61:61" x14ac:dyDescent="0.25">
      <c r="BI209">
        <v>698</v>
      </c>
    </row>
    <row r="210" spans="61:61" x14ac:dyDescent="0.25">
      <c r="BI210">
        <v>699</v>
      </c>
    </row>
    <row r="211" spans="61:61" x14ac:dyDescent="0.25">
      <c r="BI211">
        <v>702</v>
      </c>
    </row>
    <row r="212" spans="61:61" x14ac:dyDescent="0.25">
      <c r="BI212">
        <v>704</v>
      </c>
    </row>
    <row r="213" spans="61:61" x14ac:dyDescent="0.25">
      <c r="BI213">
        <v>705</v>
      </c>
    </row>
    <row r="214" spans="61:61" x14ac:dyDescent="0.25">
      <c r="BI214">
        <v>706</v>
      </c>
    </row>
    <row r="215" spans="61:61" x14ac:dyDescent="0.25">
      <c r="BI215">
        <v>708</v>
      </c>
    </row>
    <row r="216" spans="61:61" x14ac:dyDescent="0.25">
      <c r="BI216">
        <v>709</v>
      </c>
    </row>
    <row r="217" spans="61:61" x14ac:dyDescent="0.25">
      <c r="BI217">
        <v>710</v>
      </c>
    </row>
    <row r="218" spans="61:61" x14ac:dyDescent="0.25">
      <c r="BI218">
        <v>711</v>
      </c>
    </row>
    <row r="219" spans="61:61" x14ac:dyDescent="0.25">
      <c r="BI219">
        <v>712</v>
      </c>
    </row>
    <row r="220" spans="61:61" x14ac:dyDescent="0.25">
      <c r="BI220">
        <v>713</v>
      </c>
    </row>
    <row r="221" spans="61:61" x14ac:dyDescent="0.25">
      <c r="BI221">
        <v>714</v>
      </c>
    </row>
    <row r="222" spans="61:61" x14ac:dyDescent="0.25">
      <c r="BI222">
        <v>715</v>
      </c>
    </row>
    <row r="223" spans="61:61" x14ac:dyDescent="0.25">
      <c r="BI223">
        <v>716</v>
      </c>
    </row>
    <row r="224" spans="61:61" x14ac:dyDescent="0.25">
      <c r="BI224">
        <v>717</v>
      </c>
    </row>
    <row r="225" spans="61:61" x14ac:dyDescent="0.25">
      <c r="BI225">
        <v>719</v>
      </c>
    </row>
    <row r="226" spans="61:61" x14ac:dyDescent="0.25">
      <c r="BI226">
        <v>720</v>
      </c>
    </row>
    <row r="227" spans="61:61" x14ac:dyDescent="0.25">
      <c r="BI227">
        <v>721</v>
      </c>
    </row>
    <row r="228" spans="61:61" x14ac:dyDescent="0.25">
      <c r="BI228">
        <v>722</v>
      </c>
    </row>
    <row r="229" spans="61:61" x14ac:dyDescent="0.25">
      <c r="BI229">
        <v>723</v>
      </c>
    </row>
    <row r="230" spans="61:61" x14ac:dyDescent="0.25">
      <c r="BI230">
        <v>724</v>
      </c>
    </row>
    <row r="231" spans="61:61" x14ac:dyDescent="0.25">
      <c r="BI231">
        <v>725</v>
      </c>
    </row>
    <row r="232" spans="61:61" x14ac:dyDescent="0.25">
      <c r="BI232">
        <v>726</v>
      </c>
    </row>
    <row r="233" spans="61:61" x14ac:dyDescent="0.25">
      <c r="BI233">
        <v>727</v>
      </c>
    </row>
    <row r="234" spans="61:61" x14ac:dyDescent="0.25">
      <c r="BI234">
        <v>728</v>
      </c>
    </row>
    <row r="235" spans="61:61" x14ac:dyDescent="0.25">
      <c r="BI235">
        <v>733</v>
      </c>
    </row>
    <row r="236" spans="61:61" x14ac:dyDescent="0.25">
      <c r="BI236">
        <v>734</v>
      </c>
    </row>
    <row r="237" spans="61:61" x14ac:dyDescent="0.25">
      <c r="BI237">
        <v>735</v>
      </c>
    </row>
    <row r="238" spans="61:61" x14ac:dyDescent="0.25">
      <c r="BI238">
        <v>736</v>
      </c>
    </row>
    <row r="239" spans="61:61" x14ac:dyDescent="0.25">
      <c r="BI239">
        <v>737</v>
      </c>
    </row>
    <row r="240" spans="61:61" x14ac:dyDescent="0.25">
      <c r="BI240">
        <v>738</v>
      </c>
    </row>
    <row r="241" spans="61:61" x14ac:dyDescent="0.25">
      <c r="BI241">
        <v>739</v>
      </c>
    </row>
    <row r="242" spans="61:61" x14ac:dyDescent="0.25">
      <c r="BI242">
        <v>740</v>
      </c>
    </row>
    <row r="243" spans="61:61" x14ac:dyDescent="0.25">
      <c r="BI243">
        <v>741</v>
      </c>
    </row>
    <row r="244" spans="61:61" x14ac:dyDescent="0.25">
      <c r="BI244">
        <v>742</v>
      </c>
    </row>
    <row r="245" spans="61:61" x14ac:dyDescent="0.25">
      <c r="BI245">
        <v>743</v>
      </c>
    </row>
    <row r="246" spans="61:61" x14ac:dyDescent="0.25">
      <c r="BI246">
        <v>744</v>
      </c>
    </row>
    <row r="247" spans="61:61" x14ac:dyDescent="0.25">
      <c r="BI247">
        <v>745</v>
      </c>
    </row>
    <row r="248" spans="61:61" x14ac:dyDescent="0.25">
      <c r="BI248">
        <v>746</v>
      </c>
    </row>
    <row r="249" spans="61:61" x14ac:dyDescent="0.25">
      <c r="BI249">
        <v>747</v>
      </c>
    </row>
    <row r="250" spans="61:61" x14ac:dyDescent="0.25">
      <c r="BI250">
        <v>748</v>
      </c>
    </row>
    <row r="251" spans="61:61" x14ac:dyDescent="0.25">
      <c r="BI251">
        <v>749</v>
      </c>
    </row>
    <row r="252" spans="61:61" x14ac:dyDescent="0.25">
      <c r="BI252">
        <v>750</v>
      </c>
    </row>
    <row r="253" spans="61:61" x14ac:dyDescent="0.25">
      <c r="BI253">
        <v>751</v>
      </c>
    </row>
    <row r="254" spans="61:61" x14ac:dyDescent="0.25">
      <c r="BI254">
        <v>752</v>
      </c>
    </row>
    <row r="255" spans="61:61" x14ac:dyDescent="0.25">
      <c r="BI255">
        <v>753</v>
      </c>
    </row>
    <row r="256" spans="61:61" x14ac:dyDescent="0.25">
      <c r="BI256">
        <v>754</v>
      </c>
    </row>
    <row r="257" spans="61:61" x14ac:dyDescent="0.25">
      <c r="BI257">
        <v>755</v>
      </c>
    </row>
    <row r="258" spans="61:61" x14ac:dyDescent="0.25">
      <c r="BI258">
        <v>756</v>
      </c>
    </row>
    <row r="259" spans="61:61" x14ac:dyDescent="0.25">
      <c r="BI259">
        <v>757</v>
      </c>
    </row>
    <row r="260" spans="61:61" x14ac:dyDescent="0.25">
      <c r="BI260">
        <v>758</v>
      </c>
    </row>
    <row r="261" spans="61:61" x14ac:dyDescent="0.25">
      <c r="BI261">
        <v>759</v>
      </c>
    </row>
    <row r="262" spans="61:61" x14ac:dyDescent="0.25">
      <c r="BI262">
        <v>760</v>
      </c>
    </row>
    <row r="263" spans="61:61" x14ac:dyDescent="0.25">
      <c r="BI263">
        <v>761</v>
      </c>
    </row>
    <row r="264" spans="61:61" x14ac:dyDescent="0.25">
      <c r="BI264">
        <v>762</v>
      </c>
    </row>
    <row r="265" spans="61:61" x14ac:dyDescent="0.25">
      <c r="BI265">
        <v>763</v>
      </c>
    </row>
    <row r="266" spans="61:61" x14ac:dyDescent="0.25">
      <c r="BI266">
        <v>764</v>
      </c>
    </row>
    <row r="267" spans="61:61" x14ac:dyDescent="0.25">
      <c r="BI267">
        <v>765</v>
      </c>
    </row>
    <row r="268" spans="61:61" x14ac:dyDescent="0.25">
      <c r="BI268">
        <v>766</v>
      </c>
    </row>
    <row r="269" spans="61:61" x14ac:dyDescent="0.25">
      <c r="BI269">
        <v>768</v>
      </c>
    </row>
    <row r="270" spans="61:61" x14ac:dyDescent="0.25">
      <c r="BI270">
        <v>769</v>
      </c>
    </row>
    <row r="271" spans="61:61" x14ac:dyDescent="0.25">
      <c r="BI271">
        <v>770</v>
      </c>
    </row>
    <row r="272" spans="61:61" x14ac:dyDescent="0.25">
      <c r="BI272">
        <v>771</v>
      </c>
    </row>
    <row r="273" spans="61:61" x14ac:dyDescent="0.25">
      <c r="BI273">
        <v>772</v>
      </c>
    </row>
    <row r="274" spans="61:61" x14ac:dyDescent="0.25">
      <c r="BI274">
        <v>773</v>
      </c>
    </row>
    <row r="275" spans="61:61" x14ac:dyDescent="0.25">
      <c r="BI275">
        <v>774</v>
      </c>
    </row>
    <row r="276" spans="61:61" x14ac:dyDescent="0.25">
      <c r="BI276">
        <v>775</v>
      </c>
    </row>
    <row r="277" spans="61:61" x14ac:dyDescent="0.25">
      <c r="BI277">
        <v>776</v>
      </c>
    </row>
    <row r="278" spans="61:61" x14ac:dyDescent="0.25">
      <c r="BI278">
        <v>778</v>
      </c>
    </row>
    <row r="279" spans="61:61" x14ac:dyDescent="0.25">
      <c r="BI279">
        <v>784</v>
      </c>
    </row>
    <row r="280" spans="61:61" x14ac:dyDescent="0.25">
      <c r="BI280">
        <v>785</v>
      </c>
    </row>
    <row r="281" spans="61:61" x14ac:dyDescent="0.25">
      <c r="BI281">
        <v>786</v>
      </c>
    </row>
    <row r="282" spans="61:61" x14ac:dyDescent="0.25">
      <c r="BI282">
        <v>787</v>
      </c>
    </row>
    <row r="283" spans="61:61" x14ac:dyDescent="0.25">
      <c r="BI283">
        <v>788</v>
      </c>
    </row>
    <row r="284" spans="61:61" x14ac:dyDescent="0.25">
      <c r="BI284">
        <v>789</v>
      </c>
    </row>
    <row r="285" spans="61:61" x14ac:dyDescent="0.25">
      <c r="BI285">
        <v>790</v>
      </c>
    </row>
    <row r="286" spans="61:61" x14ac:dyDescent="0.25">
      <c r="BI286">
        <v>791</v>
      </c>
    </row>
    <row r="287" spans="61:61" x14ac:dyDescent="0.25">
      <c r="BI287">
        <v>792</v>
      </c>
    </row>
    <row r="288" spans="61:61" x14ac:dyDescent="0.25">
      <c r="BI288">
        <v>793</v>
      </c>
    </row>
    <row r="289" spans="61:61" x14ac:dyDescent="0.25">
      <c r="BI289">
        <v>794</v>
      </c>
    </row>
    <row r="290" spans="61:61" x14ac:dyDescent="0.25">
      <c r="BI290">
        <v>795</v>
      </c>
    </row>
    <row r="291" spans="61:61" x14ac:dyDescent="0.25">
      <c r="BI291">
        <v>796</v>
      </c>
    </row>
    <row r="292" spans="61:61" x14ac:dyDescent="0.25">
      <c r="BI292">
        <v>797</v>
      </c>
    </row>
    <row r="293" spans="61:61" x14ac:dyDescent="0.25">
      <c r="BI293">
        <v>798</v>
      </c>
    </row>
    <row r="294" spans="61:61" x14ac:dyDescent="0.25">
      <c r="BI294">
        <v>799</v>
      </c>
    </row>
    <row r="295" spans="61:61" x14ac:dyDescent="0.25">
      <c r="BI295">
        <v>800</v>
      </c>
    </row>
    <row r="296" spans="61:61" x14ac:dyDescent="0.25">
      <c r="BI296">
        <v>802</v>
      </c>
    </row>
    <row r="297" spans="61:61" x14ac:dyDescent="0.25">
      <c r="BI297">
        <v>803</v>
      </c>
    </row>
    <row r="298" spans="61:61" x14ac:dyDescent="0.25">
      <c r="BI298">
        <v>804</v>
      </c>
    </row>
    <row r="299" spans="61:61" x14ac:dyDescent="0.25">
      <c r="BI299">
        <v>805</v>
      </c>
    </row>
    <row r="300" spans="61:61" x14ac:dyDescent="0.25">
      <c r="BI300">
        <v>806</v>
      </c>
    </row>
    <row r="301" spans="61:61" x14ac:dyDescent="0.25">
      <c r="BI301">
        <v>807</v>
      </c>
    </row>
    <row r="302" spans="61:61" x14ac:dyDescent="0.25">
      <c r="BI302">
        <v>808</v>
      </c>
    </row>
    <row r="303" spans="61:61" x14ac:dyDescent="0.25">
      <c r="BI303">
        <v>809</v>
      </c>
    </row>
    <row r="304" spans="61:61" x14ac:dyDescent="0.25">
      <c r="BI304">
        <v>810</v>
      </c>
    </row>
    <row r="305" spans="61:61" x14ac:dyDescent="0.25">
      <c r="BI305">
        <v>811</v>
      </c>
    </row>
    <row r="306" spans="61:61" x14ac:dyDescent="0.25">
      <c r="BI306">
        <v>812</v>
      </c>
    </row>
    <row r="307" spans="61:61" x14ac:dyDescent="0.25">
      <c r="BI307">
        <v>813</v>
      </c>
    </row>
    <row r="308" spans="61:61" x14ac:dyDescent="0.25">
      <c r="BI308">
        <v>814</v>
      </c>
    </row>
    <row r="309" spans="61:61" x14ac:dyDescent="0.25">
      <c r="BI309">
        <v>815</v>
      </c>
    </row>
    <row r="310" spans="61:61" x14ac:dyDescent="0.25">
      <c r="BI310">
        <v>816</v>
      </c>
    </row>
    <row r="311" spans="61:61" x14ac:dyDescent="0.25">
      <c r="BI311">
        <v>817</v>
      </c>
    </row>
    <row r="312" spans="61:61" x14ac:dyDescent="0.25">
      <c r="BI312">
        <v>818</v>
      </c>
    </row>
    <row r="313" spans="61:61" x14ac:dyDescent="0.25">
      <c r="BI313">
        <v>819</v>
      </c>
    </row>
    <row r="314" spans="61:61" x14ac:dyDescent="0.25">
      <c r="BI314">
        <v>820</v>
      </c>
    </row>
    <row r="315" spans="61:61" x14ac:dyDescent="0.25">
      <c r="BI315">
        <v>821</v>
      </c>
    </row>
    <row r="316" spans="61:61" x14ac:dyDescent="0.25">
      <c r="BI316">
        <v>822</v>
      </c>
    </row>
    <row r="317" spans="61:61" x14ac:dyDescent="0.25">
      <c r="BI317">
        <v>823</v>
      </c>
    </row>
    <row r="318" spans="61:61" x14ac:dyDescent="0.25">
      <c r="BI318">
        <v>824</v>
      </c>
    </row>
    <row r="319" spans="61:61" x14ac:dyDescent="0.25">
      <c r="BI319">
        <v>825</v>
      </c>
    </row>
    <row r="320" spans="61:61" x14ac:dyDescent="0.25">
      <c r="BI320">
        <v>826</v>
      </c>
    </row>
    <row r="321" spans="61:61" x14ac:dyDescent="0.25">
      <c r="BI321">
        <v>827</v>
      </c>
    </row>
    <row r="322" spans="61:61" x14ac:dyDescent="0.25">
      <c r="BI322">
        <v>828</v>
      </c>
    </row>
    <row r="323" spans="61:61" x14ac:dyDescent="0.25">
      <c r="BI323">
        <v>829</v>
      </c>
    </row>
    <row r="324" spans="61:61" x14ac:dyDescent="0.25">
      <c r="BI324">
        <v>830</v>
      </c>
    </row>
    <row r="325" spans="61:61" x14ac:dyDescent="0.25">
      <c r="BI325">
        <v>831</v>
      </c>
    </row>
    <row r="326" spans="61:61" x14ac:dyDescent="0.25">
      <c r="BI326">
        <v>832</v>
      </c>
    </row>
    <row r="327" spans="61:61" x14ac:dyDescent="0.25">
      <c r="BI327">
        <v>833</v>
      </c>
    </row>
    <row r="328" spans="61:61" x14ac:dyDescent="0.25">
      <c r="BI328">
        <v>834</v>
      </c>
    </row>
    <row r="329" spans="61:61" x14ac:dyDescent="0.25">
      <c r="BI329">
        <v>835</v>
      </c>
    </row>
    <row r="330" spans="61:61" x14ac:dyDescent="0.25">
      <c r="BI330">
        <v>836</v>
      </c>
    </row>
    <row r="331" spans="61:61" x14ac:dyDescent="0.25">
      <c r="BI331">
        <v>842</v>
      </c>
    </row>
    <row r="332" spans="61:61" x14ac:dyDescent="0.25">
      <c r="BI332">
        <v>843</v>
      </c>
    </row>
    <row r="333" spans="61:61" x14ac:dyDescent="0.25">
      <c r="BI333">
        <v>844</v>
      </c>
    </row>
    <row r="334" spans="61:61" x14ac:dyDescent="0.25">
      <c r="BI334">
        <v>845</v>
      </c>
    </row>
    <row r="335" spans="61:61" x14ac:dyDescent="0.25">
      <c r="BI335">
        <v>846</v>
      </c>
    </row>
    <row r="336" spans="61:61" x14ac:dyDescent="0.25">
      <c r="BI336">
        <v>847</v>
      </c>
    </row>
    <row r="337" spans="61:61" x14ac:dyDescent="0.25">
      <c r="BI337">
        <v>848</v>
      </c>
    </row>
    <row r="338" spans="61:61" x14ac:dyDescent="0.25">
      <c r="BI338">
        <v>849</v>
      </c>
    </row>
    <row r="339" spans="61:61" x14ac:dyDescent="0.25">
      <c r="BI339">
        <v>850</v>
      </c>
    </row>
    <row r="340" spans="61:61" x14ac:dyDescent="0.25">
      <c r="BI340">
        <v>851</v>
      </c>
    </row>
    <row r="341" spans="61:61" x14ac:dyDescent="0.25">
      <c r="BI341">
        <v>852</v>
      </c>
    </row>
    <row r="342" spans="61:61" x14ac:dyDescent="0.25">
      <c r="BI342">
        <v>853</v>
      </c>
    </row>
    <row r="343" spans="61:61" x14ac:dyDescent="0.25">
      <c r="BI343">
        <v>854</v>
      </c>
    </row>
    <row r="344" spans="61:61" x14ac:dyDescent="0.25">
      <c r="BI344">
        <v>855</v>
      </c>
    </row>
    <row r="345" spans="61:61" x14ac:dyDescent="0.25">
      <c r="BI345">
        <v>856</v>
      </c>
    </row>
    <row r="346" spans="61:61" x14ac:dyDescent="0.25">
      <c r="BI346">
        <v>857</v>
      </c>
    </row>
    <row r="347" spans="61:61" x14ac:dyDescent="0.25">
      <c r="BI347">
        <v>858</v>
      </c>
    </row>
    <row r="348" spans="61:61" x14ac:dyDescent="0.25">
      <c r="BI348">
        <v>860</v>
      </c>
    </row>
    <row r="349" spans="61:61" x14ac:dyDescent="0.25">
      <c r="BI349">
        <v>861</v>
      </c>
    </row>
    <row r="350" spans="61:61" x14ac:dyDescent="0.25">
      <c r="BI350">
        <v>862</v>
      </c>
    </row>
    <row r="351" spans="61:61" x14ac:dyDescent="0.25">
      <c r="BI351">
        <v>863</v>
      </c>
    </row>
    <row r="352" spans="61:61" x14ac:dyDescent="0.25">
      <c r="BI352">
        <v>864</v>
      </c>
    </row>
    <row r="353" spans="61:61" x14ac:dyDescent="0.25">
      <c r="BI353">
        <v>865</v>
      </c>
    </row>
    <row r="354" spans="61:61" x14ac:dyDescent="0.25">
      <c r="BI354">
        <v>866</v>
      </c>
    </row>
    <row r="355" spans="61:61" x14ac:dyDescent="0.25">
      <c r="BI355">
        <v>867</v>
      </c>
    </row>
    <row r="356" spans="61:61" x14ac:dyDescent="0.25">
      <c r="BI356">
        <v>868</v>
      </c>
    </row>
    <row r="357" spans="61:61" x14ac:dyDescent="0.25">
      <c r="BI357">
        <v>869</v>
      </c>
    </row>
    <row r="358" spans="61:61" x14ac:dyDescent="0.25">
      <c r="BI358">
        <v>870</v>
      </c>
    </row>
    <row r="359" spans="61:61" x14ac:dyDescent="0.25">
      <c r="BI359">
        <v>871</v>
      </c>
    </row>
    <row r="360" spans="61:61" x14ac:dyDescent="0.25">
      <c r="BI360">
        <v>872</v>
      </c>
    </row>
    <row r="361" spans="61:61" x14ac:dyDescent="0.25">
      <c r="BI361">
        <v>873</v>
      </c>
    </row>
    <row r="362" spans="61:61" x14ac:dyDescent="0.25">
      <c r="BI362">
        <v>874</v>
      </c>
    </row>
    <row r="363" spans="61:61" x14ac:dyDescent="0.25">
      <c r="BI363">
        <v>875</v>
      </c>
    </row>
    <row r="364" spans="61:61" x14ac:dyDescent="0.25">
      <c r="BI364">
        <v>876</v>
      </c>
    </row>
    <row r="365" spans="61:61" x14ac:dyDescent="0.25">
      <c r="BI365">
        <v>877</v>
      </c>
    </row>
    <row r="366" spans="61:61" x14ac:dyDescent="0.25">
      <c r="BI366">
        <v>878</v>
      </c>
    </row>
    <row r="367" spans="61:61" x14ac:dyDescent="0.25">
      <c r="BI367">
        <v>879</v>
      </c>
    </row>
    <row r="368" spans="61:61" x14ac:dyDescent="0.25">
      <c r="BI368">
        <v>880</v>
      </c>
    </row>
    <row r="369" spans="61:61" x14ac:dyDescent="0.25">
      <c r="BI369">
        <v>881</v>
      </c>
    </row>
    <row r="370" spans="61:61" x14ac:dyDescent="0.25">
      <c r="BI370">
        <v>882</v>
      </c>
    </row>
    <row r="371" spans="61:61" x14ac:dyDescent="0.25">
      <c r="BI371">
        <v>883</v>
      </c>
    </row>
    <row r="372" spans="61:61" x14ac:dyDescent="0.25">
      <c r="BI372">
        <v>884</v>
      </c>
    </row>
    <row r="373" spans="61:61" x14ac:dyDescent="0.25">
      <c r="BI373">
        <v>885</v>
      </c>
    </row>
    <row r="374" spans="61:61" x14ac:dyDescent="0.25">
      <c r="BI374">
        <v>886</v>
      </c>
    </row>
    <row r="375" spans="61:61" x14ac:dyDescent="0.25">
      <c r="BI375">
        <v>887</v>
      </c>
    </row>
    <row r="376" spans="61:61" x14ac:dyDescent="0.25">
      <c r="BI376">
        <v>888</v>
      </c>
    </row>
    <row r="377" spans="61:61" x14ac:dyDescent="0.25">
      <c r="BI377">
        <v>889</v>
      </c>
    </row>
    <row r="378" spans="61:61" x14ac:dyDescent="0.25">
      <c r="BI378">
        <v>890</v>
      </c>
    </row>
    <row r="379" spans="61:61" x14ac:dyDescent="0.25">
      <c r="BI379">
        <v>891</v>
      </c>
    </row>
    <row r="380" spans="61:61" x14ac:dyDescent="0.25">
      <c r="BI380">
        <v>892</v>
      </c>
    </row>
    <row r="381" spans="61:61" x14ac:dyDescent="0.25">
      <c r="BI381">
        <v>894</v>
      </c>
    </row>
    <row r="382" spans="61:61" x14ac:dyDescent="0.25">
      <c r="BI382">
        <v>895</v>
      </c>
    </row>
    <row r="383" spans="61:61" x14ac:dyDescent="0.25">
      <c r="BI383">
        <v>896</v>
      </c>
    </row>
    <row r="384" spans="61:61" x14ac:dyDescent="0.25">
      <c r="BI384">
        <v>897</v>
      </c>
    </row>
    <row r="385" spans="61:61" x14ac:dyDescent="0.25">
      <c r="BI385">
        <v>898</v>
      </c>
    </row>
    <row r="386" spans="61:61" x14ac:dyDescent="0.25">
      <c r="BI386">
        <v>899</v>
      </c>
    </row>
    <row r="387" spans="61:61" x14ac:dyDescent="0.25">
      <c r="BI387">
        <v>901</v>
      </c>
    </row>
    <row r="388" spans="61:61" x14ac:dyDescent="0.25">
      <c r="BI388">
        <v>902</v>
      </c>
    </row>
    <row r="389" spans="61:61" x14ac:dyDescent="0.25">
      <c r="BI389">
        <v>903</v>
      </c>
    </row>
    <row r="390" spans="61:61" x14ac:dyDescent="0.25">
      <c r="BI390">
        <v>904</v>
      </c>
    </row>
    <row r="391" spans="61:61" x14ac:dyDescent="0.25">
      <c r="BI391">
        <v>905</v>
      </c>
    </row>
    <row r="392" spans="61:61" x14ac:dyDescent="0.25">
      <c r="BI392">
        <v>906</v>
      </c>
    </row>
    <row r="393" spans="61:61" x14ac:dyDescent="0.25">
      <c r="BI393">
        <v>907</v>
      </c>
    </row>
    <row r="394" spans="61:61" x14ac:dyDescent="0.25">
      <c r="BI394">
        <v>908</v>
      </c>
    </row>
    <row r="395" spans="61:61" x14ac:dyDescent="0.25">
      <c r="BI395">
        <v>909</v>
      </c>
    </row>
    <row r="396" spans="61:61" x14ac:dyDescent="0.25">
      <c r="BI396">
        <v>910</v>
      </c>
    </row>
    <row r="397" spans="61:61" x14ac:dyDescent="0.25">
      <c r="BI397">
        <v>911</v>
      </c>
    </row>
    <row r="398" spans="61:61" x14ac:dyDescent="0.25">
      <c r="BI398">
        <v>912</v>
      </c>
    </row>
    <row r="399" spans="61:61" x14ac:dyDescent="0.25">
      <c r="BI399">
        <v>913</v>
      </c>
    </row>
    <row r="400" spans="61:61" x14ac:dyDescent="0.25">
      <c r="BI400">
        <v>914</v>
      </c>
    </row>
    <row r="401" spans="61:61" x14ac:dyDescent="0.25">
      <c r="BI401">
        <v>916</v>
      </c>
    </row>
    <row r="402" spans="61:61" x14ac:dyDescent="0.25">
      <c r="BI402">
        <v>917</v>
      </c>
    </row>
    <row r="403" spans="61:61" x14ac:dyDescent="0.25">
      <c r="BI403">
        <v>919</v>
      </c>
    </row>
    <row r="404" spans="61:61" x14ac:dyDescent="0.25">
      <c r="BI404">
        <v>920</v>
      </c>
    </row>
    <row r="405" spans="61:61" x14ac:dyDescent="0.25">
      <c r="BI405">
        <v>921</v>
      </c>
    </row>
    <row r="406" spans="61:61" x14ac:dyDescent="0.25">
      <c r="BI406">
        <v>922</v>
      </c>
    </row>
    <row r="407" spans="61:61" x14ac:dyDescent="0.25">
      <c r="BI407">
        <v>923</v>
      </c>
    </row>
    <row r="408" spans="61:61" x14ac:dyDescent="0.25">
      <c r="BI408">
        <v>924</v>
      </c>
    </row>
    <row r="409" spans="61:61" x14ac:dyDescent="0.25">
      <c r="BI409">
        <v>925</v>
      </c>
    </row>
    <row r="410" spans="61:61" x14ac:dyDescent="0.25">
      <c r="BI410">
        <v>926</v>
      </c>
    </row>
    <row r="411" spans="61:61" x14ac:dyDescent="0.25">
      <c r="BI411">
        <v>927</v>
      </c>
    </row>
    <row r="412" spans="61:61" x14ac:dyDescent="0.25">
      <c r="BI412">
        <v>928</v>
      </c>
    </row>
    <row r="413" spans="61:61" x14ac:dyDescent="0.25">
      <c r="BI413">
        <v>929</v>
      </c>
    </row>
    <row r="414" spans="61:61" x14ac:dyDescent="0.25">
      <c r="BI414">
        <v>930</v>
      </c>
    </row>
    <row r="415" spans="61:61" x14ac:dyDescent="0.25">
      <c r="BI415">
        <v>931</v>
      </c>
    </row>
    <row r="416" spans="61:61" x14ac:dyDescent="0.25">
      <c r="BI416">
        <v>932</v>
      </c>
    </row>
    <row r="417" spans="61:61" x14ac:dyDescent="0.25">
      <c r="BI417">
        <v>933</v>
      </c>
    </row>
    <row r="418" spans="61:61" x14ac:dyDescent="0.25">
      <c r="BI418">
        <v>934</v>
      </c>
    </row>
    <row r="419" spans="61:61" x14ac:dyDescent="0.25">
      <c r="BI419">
        <v>936</v>
      </c>
    </row>
    <row r="420" spans="61:61" x14ac:dyDescent="0.25">
      <c r="BI420">
        <v>937</v>
      </c>
    </row>
    <row r="421" spans="61:61" x14ac:dyDescent="0.25">
      <c r="BI421">
        <v>938</v>
      </c>
    </row>
    <row r="422" spans="61:61" x14ac:dyDescent="0.25">
      <c r="BI422">
        <v>939</v>
      </c>
    </row>
    <row r="423" spans="61:61" x14ac:dyDescent="0.25">
      <c r="BI423">
        <v>940</v>
      </c>
    </row>
    <row r="424" spans="61:61" x14ac:dyDescent="0.25">
      <c r="BI424">
        <v>941</v>
      </c>
    </row>
    <row r="425" spans="61:61" x14ac:dyDescent="0.25">
      <c r="BI425">
        <v>942</v>
      </c>
    </row>
    <row r="426" spans="61:61" x14ac:dyDescent="0.25">
      <c r="BI426">
        <v>943</v>
      </c>
    </row>
    <row r="427" spans="61:61" x14ac:dyDescent="0.25">
      <c r="BI427">
        <v>944</v>
      </c>
    </row>
    <row r="428" spans="61:61" x14ac:dyDescent="0.25">
      <c r="BI428">
        <v>945</v>
      </c>
    </row>
    <row r="429" spans="61:61" x14ac:dyDescent="0.25">
      <c r="BI429">
        <v>946</v>
      </c>
    </row>
    <row r="430" spans="61:61" x14ac:dyDescent="0.25">
      <c r="BI430">
        <v>947</v>
      </c>
    </row>
    <row r="431" spans="61:61" x14ac:dyDescent="0.25">
      <c r="BI431">
        <v>948</v>
      </c>
    </row>
    <row r="432" spans="61:61" x14ac:dyDescent="0.25">
      <c r="BI432">
        <v>949</v>
      </c>
    </row>
    <row r="433" spans="61:61" x14ac:dyDescent="0.25">
      <c r="BI433">
        <v>950</v>
      </c>
    </row>
    <row r="434" spans="61:61" x14ac:dyDescent="0.25">
      <c r="BI434">
        <v>951</v>
      </c>
    </row>
    <row r="435" spans="61:61" x14ac:dyDescent="0.25">
      <c r="BI435">
        <v>952</v>
      </c>
    </row>
    <row r="436" spans="61:61" x14ac:dyDescent="0.25">
      <c r="BI436">
        <v>953</v>
      </c>
    </row>
    <row r="437" spans="61:61" x14ac:dyDescent="0.25">
      <c r="BI437">
        <v>954</v>
      </c>
    </row>
    <row r="438" spans="61:61" x14ac:dyDescent="0.25">
      <c r="BI438">
        <v>955</v>
      </c>
    </row>
    <row r="439" spans="61:61" x14ac:dyDescent="0.25">
      <c r="BI439">
        <v>956</v>
      </c>
    </row>
    <row r="440" spans="61:61" x14ac:dyDescent="0.25">
      <c r="BI440">
        <v>957</v>
      </c>
    </row>
    <row r="441" spans="61:61" x14ac:dyDescent="0.25">
      <c r="BI441">
        <v>958</v>
      </c>
    </row>
    <row r="442" spans="61:61" x14ac:dyDescent="0.25">
      <c r="BI442">
        <v>959</v>
      </c>
    </row>
    <row r="443" spans="61:61" x14ac:dyDescent="0.25">
      <c r="BI443">
        <v>960</v>
      </c>
    </row>
    <row r="444" spans="61:61" x14ac:dyDescent="0.25">
      <c r="BI444">
        <v>961</v>
      </c>
    </row>
    <row r="445" spans="61:61" x14ac:dyDescent="0.25">
      <c r="BI445">
        <v>962</v>
      </c>
    </row>
    <row r="446" spans="61:61" x14ac:dyDescent="0.25">
      <c r="BI446">
        <v>963</v>
      </c>
    </row>
    <row r="447" spans="61:61" x14ac:dyDescent="0.25">
      <c r="BI447">
        <v>964</v>
      </c>
    </row>
    <row r="448" spans="61:61" x14ac:dyDescent="0.25">
      <c r="BI448">
        <v>965</v>
      </c>
    </row>
    <row r="449" spans="61:61" x14ac:dyDescent="0.25">
      <c r="BI449">
        <v>966</v>
      </c>
    </row>
    <row r="450" spans="61:61" x14ac:dyDescent="0.25">
      <c r="BI450">
        <v>967</v>
      </c>
    </row>
    <row r="451" spans="61:61" x14ac:dyDescent="0.25">
      <c r="BI451">
        <v>968</v>
      </c>
    </row>
    <row r="452" spans="61:61" x14ac:dyDescent="0.25">
      <c r="BI452">
        <v>969</v>
      </c>
    </row>
    <row r="453" spans="61:61" x14ac:dyDescent="0.25">
      <c r="BI453">
        <v>970</v>
      </c>
    </row>
    <row r="454" spans="61:61" x14ac:dyDescent="0.25">
      <c r="BI454">
        <v>971</v>
      </c>
    </row>
    <row r="455" spans="61:61" x14ac:dyDescent="0.25">
      <c r="BI455">
        <v>972</v>
      </c>
    </row>
    <row r="456" spans="61:61" x14ac:dyDescent="0.25">
      <c r="BI456">
        <v>973</v>
      </c>
    </row>
    <row r="457" spans="61:61" x14ac:dyDescent="0.25">
      <c r="BI457">
        <v>974</v>
      </c>
    </row>
    <row r="458" spans="61:61" x14ac:dyDescent="0.25">
      <c r="BI458">
        <v>975</v>
      </c>
    </row>
    <row r="459" spans="61:61" x14ac:dyDescent="0.25">
      <c r="BI459">
        <v>976</v>
      </c>
    </row>
    <row r="460" spans="61:61" x14ac:dyDescent="0.25">
      <c r="BI460">
        <v>977</v>
      </c>
    </row>
    <row r="461" spans="61:61" x14ac:dyDescent="0.25">
      <c r="BI461">
        <v>978</v>
      </c>
    </row>
    <row r="462" spans="61:61" x14ac:dyDescent="0.25">
      <c r="BI462">
        <v>979</v>
      </c>
    </row>
    <row r="463" spans="61:61" x14ac:dyDescent="0.25">
      <c r="BI463">
        <v>980</v>
      </c>
    </row>
    <row r="464" spans="61:61" x14ac:dyDescent="0.25">
      <c r="BI464">
        <v>981</v>
      </c>
    </row>
    <row r="465" spans="61:61" x14ac:dyDescent="0.25">
      <c r="BI465">
        <v>982</v>
      </c>
    </row>
    <row r="466" spans="61:61" x14ac:dyDescent="0.25">
      <c r="BI466">
        <v>983</v>
      </c>
    </row>
    <row r="467" spans="61:61" x14ac:dyDescent="0.25">
      <c r="BI467">
        <v>984</v>
      </c>
    </row>
    <row r="468" spans="61:61" x14ac:dyDescent="0.25">
      <c r="BI468">
        <v>985</v>
      </c>
    </row>
    <row r="469" spans="61:61" x14ac:dyDescent="0.25">
      <c r="BI469">
        <v>986</v>
      </c>
    </row>
    <row r="470" spans="61:61" x14ac:dyDescent="0.25">
      <c r="BI470">
        <v>987</v>
      </c>
    </row>
    <row r="471" spans="61:61" x14ac:dyDescent="0.25">
      <c r="BI471">
        <v>988</v>
      </c>
    </row>
    <row r="472" spans="61:61" x14ac:dyDescent="0.25">
      <c r="BI472">
        <v>989</v>
      </c>
    </row>
    <row r="473" spans="61:61" x14ac:dyDescent="0.25">
      <c r="BI473">
        <v>991</v>
      </c>
    </row>
    <row r="474" spans="61:61" x14ac:dyDescent="0.25">
      <c r="BI474">
        <v>992</v>
      </c>
    </row>
    <row r="475" spans="61:61" x14ac:dyDescent="0.25">
      <c r="BI475">
        <v>993</v>
      </c>
    </row>
    <row r="476" spans="61:61" x14ac:dyDescent="0.25">
      <c r="BI476">
        <v>994</v>
      </c>
    </row>
    <row r="477" spans="61:61" x14ac:dyDescent="0.25">
      <c r="BI477">
        <v>995</v>
      </c>
    </row>
    <row r="478" spans="61:61" x14ac:dyDescent="0.25">
      <c r="BI478">
        <v>996</v>
      </c>
    </row>
    <row r="479" spans="61:61" x14ac:dyDescent="0.25">
      <c r="BI479">
        <v>997</v>
      </c>
    </row>
    <row r="480" spans="61:61" x14ac:dyDescent="0.25">
      <c r="BI480">
        <v>998</v>
      </c>
    </row>
    <row r="481" spans="61:61" x14ac:dyDescent="0.25">
      <c r="BI481">
        <v>999</v>
      </c>
    </row>
    <row r="482" spans="61:61" x14ac:dyDescent="0.25">
      <c r="BI482">
        <v>1000</v>
      </c>
    </row>
  </sheetData>
  <sortState xmlns:xlrd2="http://schemas.microsoft.com/office/spreadsheetml/2017/richdata2" ref="BI3:BI522">
    <sortCondition ref="BI3"/>
  </sortState>
  <mergeCells count="2">
    <mergeCell ref="J1:Z1"/>
    <mergeCell ref="AB1:BI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Figueroa</dc:creator>
  <cp:lastModifiedBy>Joshua Figueroa</cp:lastModifiedBy>
  <cp:lastPrinted>2020-03-24T15:41:24Z</cp:lastPrinted>
  <dcterms:created xsi:type="dcterms:W3CDTF">2020-03-18T17:23:06Z</dcterms:created>
  <dcterms:modified xsi:type="dcterms:W3CDTF">2020-03-29T19:23:47Z</dcterms:modified>
</cp:coreProperties>
</file>